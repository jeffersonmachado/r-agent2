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u" sheetId="1" r:id="rId5"/>
    <sheet state="visible" name="GestaoDeRisco" sheetId="2" r:id="rId6"/>
    <sheet state="visible" name="BluePrint_Dashboard" sheetId="3" r:id="rId7"/>
    <sheet state="visible" name="BluePrint" sheetId="4" r:id="rId8"/>
    <sheet state="visible" name="Produtos_Results" sheetId="5" r:id="rId9"/>
    <sheet state="visible" name="Apresentação do Jeferson-Miguel" sheetId="6" r:id="rId10"/>
    <sheet state="visible" name="Produtos_X_Funcionalidades" sheetId="7" r:id="rId11"/>
    <sheet state="visible" name="Tabela_Requisitos_Negocio" sheetId="8" r:id="rId12"/>
    <sheet state="visible" name="BigNumbers" sheetId="9" r:id="rId13"/>
    <sheet state="visible" name="Exemplo Canvas DropBox" sheetId="10" r:id="rId14"/>
    <sheet state="visible" name="CANVAS" sheetId="11" r:id="rId15"/>
    <sheet state="visible" name="2-Proposições de Valor" sheetId="12" r:id="rId16"/>
    <sheet state="visible" name="1-Segmentos de Clientes" sheetId="13" r:id="rId17"/>
    <sheet state="visible" name="3-Canais" sheetId="14" r:id="rId18"/>
    <sheet state="visible" name="4-Relacionamento com Clientes" sheetId="15" r:id="rId19"/>
    <sheet state="visible" name="5-Fontes de Receita" sheetId="16" r:id="rId20"/>
    <sheet state="visible" name="6-Recursos Chave" sheetId="17" r:id="rId21"/>
    <sheet state="visible" name="7-Atividades Chave" sheetId="18" r:id="rId22"/>
    <sheet state="visible" name="8-Parcerias Chave" sheetId="19" r:id="rId23"/>
    <sheet state="visible" name="9-Estrutura de Custos" sheetId="20" r:id="rId24"/>
    <sheet state="visible" name="10-VersãoCanvas" sheetId="21" r:id="rId25"/>
    <sheet state="visible" name="Canvas-como-5w2h" sheetId="22" r:id="rId26"/>
    <sheet state="visible" name="Historico_Reuniões" sheetId="23" r:id="rId27"/>
  </sheets>
  <definedNames>
    <definedName hidden="1" localSheetId="3" name="_xlnm._FilterDatabase">BluePrint!$A$2:$I$72</definedName>
    <definedName hidden="1" localSheetId="4" name="_xlnm._FilterDatabase">Produtos_Results!$A$2:$F$22</definedName>
    <definedName hidden="1" localSheetId="6" name="_xlnm._FilterDatabase">Produtos_X_Funcionalidades!$A$2:$G$152</definedName>
  </definedNames>
  <calcPr/>
</workbook>
</file>

<file path=xl/sharedStrings.xml><?xml version="1.0" encoding="utf-8"?>
<sst xmlns="http://schemas.openxmlformats.org/spreadsheetml/2006/main" count="966" uniqueCount="420">
  <si>
    <t>BluePrint: Mapeamento do Cenário Atual (AS IS) X Futuro (TO BE)</t>
  </si>
  <si>
    <t>Id</t>
  </si>
  <si>
    <t>Inovação em Modelo de Negócios</t>
  </si>
  <si>
    <r>
      <rPr>
        <rFont val="Comic Sans MS"/>
        <b/>
        <color rgb="FF073763"/>
        <sz val="18.0"/>
      </rPr>
      <t xml:space="preserve">Um Modelo de Negócios descreve a lógica de Criação, Entrega e Captura de valor por parte de uma Organização através de </t>
    </r>
    <r>
      <rPr>
        <rFont val="Comic Sans MS"/>
        <b/>
        <i/>
        <color rgb="FF980000"/>
        <sz val="18.0"/>
      </rPr>
      <t>9 componentes</t>
    </r>
    <r>
      <rPr>
        <rFont val="Comic Sans MS"/>
        <b/>
        <color rgb="FF073763"/>
        <sz val="18.0"/>
      </rPr>
      <t>.</t>
    </r>
  </si>
  <si>
    <t>Seq</t>
  </si>
  <si>
    <t>Componente</t>
  </si>
  <si>
    <t>Descrição</t>
  </si>
  <si>
    <t>Palavras-Chave</t>
  </si>
  <si>
    <t>Resp</t>
  </si>
  <si>
    <t>Requisito_De_Negócio</t>
  </si>
  <si>
    <t>Requisito_Tecnico</t>
  </si>
  <si>
    <t>Entrega de Valor</t>
  </si>
  <si>
    <t>PercPronto</t>
  </si>
  <si>
    <t>Tecnologia</t>
  </si>
  <si>
    <t>Status</t>
  </si>
  <si>
    <t>Prioridade</t>
  </si>
  <si>
    <t>Segmentos de Clientes</t>
  </si>
  <si>
    <t>Uma organização serve a um ou diversos Segmentos de Clientes</t>
  </si>
  <si>
    <t>Mercado de Massa, Nicho de Mercado, Segmento, Diversificada, Plataforma Multlateral</t>
  </si>
  <si>
    <t>Proposta de Valor</t>
  </si>
  <si>
    <t>Busca resolver os problemas do Cliente e satisfazer suas necessidades, com propostas de valor.</t>
  </si>
  <si>
    <t>Novidade, Desempenho, Personalização, Redução de Custos, Marca, Status, Preço, Redução de Riscos, Usabilidade, Vantagem Competitiva</t>
  </si>
  <si>
    <t>Jefferson</t>
  </si>
  <si>
    <t>Canais</t>
  </si>
  <si>
    <t>As propostas de valor são levadas aos clientes por Canais de Comunicação, Distribuição e Vendas</t>
  </si>
  <si>
    <t>Conhecimento, Avaliação, Compra, Entrega, Pós-Venda</t>
  </si>
  <si>
    <t>Relacionamento com Clientes</t>
  </si>
  <si>
    <t>O Relacionamento com Clientes é estabelecido e mantido com cada Segmento de Clientes.</t>
  </si>
  <si>
    <t>Conquista do Cliente, Retenção do Cliente, Ampliação de Vendas</t>
  </si>
  <si>
    <t>Fontes de Receita</t>
  </si>
  <si>
    <t>As Fontes de Receita resultam de Propostas de valor oferecidas com sucesso aos Clientes</t>
  </si>
  <si>
    <t>Venda de Recursos, Taxa de Assinatura, Taxa de Uso, Licenciamento, Mecanismos de Precificação Fixa ou Dinâmica</t>
  </si>
  <si>
    <t>Recursos Principais</t>
  </si>
  <si>
    <t>Os Recursos Principais descreve os recursos mais importantes exigidos para fazer um Modelo de Negócios funcionar.</t>
  </si>
  <si>
    <t>Físico, Intelectual, Humano, Financeiro, Patentes</t>
  </si>
  <si>
    <t>Melhorar a Experiência do Cliente c/ Ominichannel</t>
  </si>
  <si>
    <t>Atividades-Chave</t>
  </si>
  <si>
    <t>A Atividades-chave descreve as ações mais importantes que uma empresa deve realizar para fazer o Modelo Funcionar</t>
  </si>
  <si>
    <t>Produção, Resolução de Problemas, Backoffice, Marketing, Comercial</t>
  </si>
  <si>
    <t>R-Voip</t>
  </si>
  <si>
    <t>Parcerias Principais</t>
  </si>
  <si>
    <t>Aumentar o alcance para meus clientes</t>
  </si>
  <si>
    <t>Algumas atividades são terceirizados e alguns recursos são adquiridas fora da empresa</t>
  </si>
  <si>
    <t>Otimização e Economia de Escala, Redução de Riscos e incerteza, Aquisição de Recursos, Joint-Venture para novos negócios, Consultores, Especialistas</t>
  </si>
  <si>
    <t>Estrutura de Custos</t>
  </si>
  <si>
    <t>A Estrutura de Custo descreve todos os custos envolvidos na Operação de um Modelo de Negócios</t>
  </si>
  <si>
    <t>Custos Fixos, Custos Variáveis, Economia de Escala</t>
  </si>
  <si>
    <t>Concluído</t>
  </si>
  <si>
    <t>4-Quick Wins</t>
  </si>
  <si>
    <t>R-Cloud</t>
  </si>
  <si>
    <t>Andamento</t>
  </si>
  <si>
    <t>R-Virtu</t>
  </si>
  <si>
    <t>Pendente</t>
  </si>
  <si>
    <t>3-Short Term</t>
  </si>
  <si>
    <t>R-Conf</t>
  </si>
  <si>
    <t>2-Medium Term</t>
  </si>
  <si>
    <t>R-Delivery</t>
  </si>
  <si>
    <t>Aumentar a Retenção de Clientes</t>
  </si>
  <si>
    <t>Melhorar a comunicação com os clientes</t>
  </si>
  <si>
    <t>R-BI</t>
  </si>
  <si>
    <t>Identificar gargalos na Cadeira Produtiva</t>
  </si>
  <si>
    <t>Tabela de Produtos da Results</t>
  </si>
  <si>
    <t>Sigla</t>
  </si>
  <si>
    <t>Tot_Func</t>
  </si>
  <si>
    <t>Func_OK</t>
  </si>
  <si>
    <t>Observação</t>
  </si>
  <si>
    <t>Plataforma de Business Intelligence</t>
  </si>
  <si>
    <t>R-N0</t>
  </si>
  <si>
    <t>R-Drive</t>
  </si>
  <si>
    <t>Permite a elaboração de vários relatórios e dashboards com recurso de drill-down</t>
  </si>
  <si>
    <t>Integrado de Clouds</t>
  </si>
  <si>
    <t>Diminuir riscos operacionais</t>
  </si>
  <si>
    <t>Permite integrar a cloud de results com cloud de terceiros (API, Webservice, Socket)</t>
  </si>
  <si>
    <t>Solução de Conferencia</t>
  </si>
  <si>
    <t>Aumentar a disponibilidade da telefonia</t>
  </si>
  <si>
    <t>Solução de Service Desk</t>
  </si>
  <si>
    <t>Implementar Dashboard com KPI's do negocio</t>
  </si>
  <si>
    <t>Gerenciador de Periféricos</t>
  </si>
  <si>
    <t>R-PDV</t>
  </si>
  <si>
    <t>Permite a comunicação e integração de vários periféricos através de LAN</t>
  </si>
  <si>
    <t>R-ERP</t>
  </si>
  <si>
    <t>Gerenciador de ERP</t>
  </si>
  <si>
    <t>Permite integração com diversos ERP do mercado</t>
  </si>
  <si>
    <t>R-Fone</t>
  </si>
  <si>
    <t>Solução de Softphone</t>
  </si>
  <si>
    <t>1-Extend Term</t>
  </si>
  <si>
    <t>R-Voice</t>
  </si>
  <si>
    <t>Gerenciador de Falhas</t>
  </si>
  <si>
    <t>RIA</t>
  </si>
  <si>
    <t>Phyton</t>
  </si>
  <si>
    <t>Permite o Monitoramento, Diagnóstico, Aviso e resolução</t>
  </si>
  <si>
    <t>Gerenciador de PDV</t>
  </si>
  <si>
    <t>Permite integração com diversos PDV do mercado</t>
  </si>
  <si>
    <t>R-Print</t>
  </si>
  <si>
    <t>Gerenciador de Impressão</t>
  </si>
  <si>
    <t>Permite a integração com outros periféricos e impressão de dados (ex: Etiquetas da balança)</t>
  </si>
  <si>
    <t>Assistente Virtual</t>
  </si>
  <si>
    <t>Permite a Automatização de Processos</t>
  </si>
  <si>
    <t>Solução de Voice</t>
  </si>
  <si>
    <t>Gerenciador de Chamadas</t>
  </si>
  <si>
    <t>Sistema de Call-Center que converte voz em dados e vice-versa</t>
  </si>
  <si>
    <t>Plataforma de Inteligencial Artificial</t>
  </si>
  <si>
    <t>Permite o desenvolvimento de Tecnologia de Transformação Digital âncorados em Inteligência Artificial</t>
  </si>
  <si>
    <t>Item</t>
  </si>
  <si>
    <t>Aplicativo que vai integrar com Balança</t>
  </si>
  <si>
    <t>IoT</t>
  </si>
  <si>
    <t>Websocket</t>
  </si>
  <si>
    <t>Relação de Produtos X Funcionalidades</t>
  </si>
  <si>
    <t>Produtos</t>
  </si>
  <si>
    <t>Funcionalidade</t>
  </si>
  <si>
    <t>Principais Requisitos de Negócio</t>
  </si>
  <si>
    <t>ID</t>
  </si>
  <si>
    <t>Requisito</t>
  </si>
  <si>
    <t>Total</t>
  </si>
  <si>
    <t>Integração com SAP</t>
  </si>
  <si>
    <t>Funcionalidade ja testada em produção com no Cliente Padaria do Ze</t>
  </si>
  <si>
    <t>Integração com TOTVs</t>
  </si>
  <si>
    <t>Em fase de desenvolvimento do WebService, Layout já definido.</t>
  </si>
  <si>
    <t>Integração com Senior Sistemas</t>
  </si>
  <si>
    <t>Aguardar Cliente com este perfil para iniciar DEV</t>
  </si>
  <si>
    <t>Integração com Benner</t>
  </si>
  <si>
    <t>Funcionalidade ja testada em produção com no Cliente Padaria do João</t>
  </si>
  <si>
    <t>Chamadas pela internet</t>
  </si>
  <si>
    <t>Big Numbers - Padaria 4.0</t>
  </si>
  <si>
    <t>Uso de ramais em smartphones, tablets, computadores e outros dispositivos móveis</t>
  </si>
  <si>
    <t>Valor</t>
  </si>
  <si>
    <t>Total de Requisitos de Negócio</t>
  </si>
  <si>
    <t>CUSTO ZERO entre matriz e filiais se estendendo para clientes e fornecedores via ramal</t>
  </si>
  <si>
    <t>Total de Requisitos de Negócios definidos como estratégicos a partir do Canvas</t>
  </si>
  <si>
    <t>Total de Produtos</t>
  </si>
  <si>
    <t>Total de Produtos Results</t>
  </si>
  <si>
    <t>Total de Funcionalidades</t>
  </si>
  <si>
    <t>Total das Funcionalidades de todos os Produtos</t>
  </si>
  <si>
    <t>Total de Requisitos Técnicos</t>
  </si>
  <si>
    <t>Identificação de Chamadas</t>
  </si>
  <si>
    <r>
      <rPr>
        <rFont val="Arial"/>
        <color theme="1"/>
        <sz val="12.0"/>
      </rPr>
      <t xml:space="preserve">Total de Produtos Classificado como </t>
    </r>
    <r>
      <rPr>
        <rFont val="Arial"/>
        <b/>
        <color rgb="FF980000"/>
        <sz val="12.0"/>
      </rPr>
      <t>Quick Wins</t>
    </r>
  </si>
  <si>
    <t>Classificado com Quick Wins Requisitos Técnicos Urgentes para MVP</t>
  </si>
  <si>
    <r>
      <rPr>
        <rFont val="Arial"/>
        <color theme="1"/>
        <sz val="12.0"/>
      </rPr>
      <t xml:space="preserve">Total de Produtos Classificado como </t>
    </r>
    <r>
      <rPr>
        <rFont val="Arial"/>
        <b/>
        <color theme="1"/>
        <sz val="12.0"/>
      </rPr>
      <t>Short Term</t>
    </r>
  </si>
  <si>
    <r>
      <rPr>
        <rFont val="Arial"/>
        <color theme="1"/>
        <sz val="12.0"/>
      </rPr>
      <t xml:space="preserve">Total de Produtos Classificado como </t>
    </r>
    <r>
      <rPr>
        <rFont val="Arial"/>
        <b/>
        <color theme="1"/>
        <sz val="12.0"/>
      </rPr>
      <t>Medium Term</t>
    </r>
  </si>
  <si>
    <t>URA</t>
  </si>
  <si>
    <r>
      <rPr>
        <rFont val="Arial"/>
        <color theme="1"/>
        <sz val="12.0"/>
      </rPr>
      <t xml:space="preserve">Total de Produtos Classificado como </t>
    </r>
    <r>
      <rPr>
        <rFont val="Arial"/>
        <b/>
        <color theme="1"/>
        <sz val="12.0"/>
      </rPr>
      <t>Extend Term</t>
    </r>
  </si>
  <si>
    <r>
      <rPr>
        <rFont val="Arial"/>
        <color theme="1"/>
        <sz val="12.0"/>
      </rPr>
      <t xml:space="preserve">Percentual </t>
    </r>
    <r>
      <rPr>
        <rFont val="Arial"/>
        <b/>
        <color theme="1"/>
        <sz val="12.0"/>
      </rPr>
      <t xml:space="preserve">Minimo </t>
    </r>
    <r>
      <rPr>
        <rFont val="Arial"/>
        <color theme="1"/>
        <sz val="12.0"/>
      </rPr>
      <t xml:space="preserve">para Produto </t>
    </r>
    <r>
      <rPr>
        <rFont val="Arial"/>
        <b/>
        <color theme="1"/>
        <sz val="12.0"/>
      </rPr>
      <t>Pronto</t>
    </r>
  </si>
  <si>
    <t>Definido percentual mínimo para um produto já esta no seu nivel de excelência</t>
  </si>
  <si>
    <r>
      <rPr>
        <rFont val="Arial"/>
        <color theme="1"/>
        <sz val="12.0"/>
      </rPr>
      <t>Total de Produtos Prontos (</t>
    </r>
    <r>
      <rPr>
        <rFont val="Arial"/>
        <b/>
        <color rgb="FF980000"/>
        <sz val="12.0"/>
      </rPr>
      <t>&lt;80%</t>
    </r>
    <r>
      <rPr>
        <rFont val="Arial"/>
        <color theme="1"/>
        <sz val="12.0"/>
      </rPr>
      <t>)</t>
    </r>
  </si>
  <si>
    <t>Atendimento automático</t>
  </si>
  <si>
    <t>Conta total de Produtos com nível de excelencia minimo</t>
  </si>
  <si>
    <t>Nível de Eficiência dos Produtos</t>
  </si>
  <si>
    <t>Total de Produtos X Produtos Finalizados</t>
  </si>
  <si>
    <r>
      <rPr>
        <rFont val="Arial"/>
        <color theme="1"/>
        <sz val="12.0"/>
      </rPr>
      <t xml:space="preserve">Funcionalidades </t>
    </r>
    <r>
      <rPr>
        <rFont val="Arial"/>
        <b/>
        <color theme="1"/>
        <sz val="12.0"/>
      </rPr>
      <t>OK</t>
    </r>
  </si>
  <si>
    <t>Envio de SMS</t>
  </si>
  <si>
    <t>Total de Funcionalidades com Status de Concluído.</t>
  </si>
  <si>
    <t>Nível de Eficiência das Funcionalidades</t>
  </si>
  <si>
    <t>Nível de Eficiência das funcionalidades</t>
  </si>
  <si>
    <t>Redirecionamento de Chamadas</t>
  </si>
  <si>
    <t>Correio de Voz</t>
  </si>
  <si>
    <t>Sala de Conferência</t>
  </si>
  <si>
    <t>Integração com Sites</t>
  </si>
  <si>
    <t>Integração com plataformas de mensagem instantânias (Whatsapp,  Telegram, etc..)</t>
  </si>
  <si>
    <t>Integração com CRM</t>
  </si>
  <si>
    <t>Fila de Atendimento</t>
  </si>
  <si>
    <t>Monitoramento de hosts e servidores em rede</t>
  </si>
  <si>
    <t>Automatizar o processo de detecção dos incidentes</t>
  </si>
  <si>
    <t>Painel com informações básicas ou personalizadas</t>
  </si>
  <si>
    <t xml:space="preserve">Descobrir automaticamente os dispositivos em toda a rede </t>
  </si>
  <si>
    <t>Sistema de alerta e notificações</t>
  </si>
  <si>
    <t>Mensagens transmitidas por multicanais (SMS, e-mail, voz, etc..)</t>
  </si>
  <si>
    <t>Resolução automatica de falhas e incidentes</t>
  </si>
  <si>
    <t>Parceiros</t>
  </si>
  <si>
    <t>Efetua a comunicação entre os ativos da rede</t>
  </si>
  <si>
    <t>Proposições de Valor</t>
  </si>
  <si>
    <t>Relacionamento com os Clientes</t>
  </si>
  <si>
    <t>Painel de Controle</t>
  </si>
  <si>
    <t>Integrar o hardware á rede</t>
  </si>
  <si>
    <t>Configurar o hardware conectado à rede</t>
  </si>
  <si>
    <t>Identificar a ausência e fornecer o Drive do periférico</t>
  </si>
  <si>
    <t>Cancelado</t>
  </si>
  <si>
    <t>Atualizar o software do driver</t>
  </si>
  <si>
    <t>Detecção e respostas de eventos de IoT</t>
  </si>
  <si>
    <t>Detectar dispositivos que foram conectados ou removidos da rede</t>
  </si>
  <si>
    <t>Recursos-Chave</t>
  </si>
  <si>
    <t>Configuração da etiqueta</t>
  </si>
  <si>
    <t>Controlar impressão remotamente</t>
  </si>
  <si>
    <t>Visualizar documento antes da impressão</t>
  </si>
  <si>
    <t>Mover trabalhos de impressão para qualquer impressora</t>
  </si>
  <si>
    <t>Salva o conteúdo do documento</t>
  </si>
  <si>
    <t xml:space="preserve">Exporte o trabalho de impressão para JPG, EMF, WMF e BMP </t>
  </si>
  <si>
    <t>9) Estrutura de Custo</t>
  </si>
  <si>
    <t>Converter voz em texto</t>
  </si>
  <si>
    <t>5) Fontes de Receita</t>
  </si>
  <si>
    <t>Converter texto em voz</t>
  </si>
  <si>
    <t>Trabalhar com tres habilidades comunicativas: escrita, escuta e fala</t>
  </si>
  <si>
    <t>Integração com Google</t>
  </si>
  <si>
    <t>Integração com pabx IP</t>
  </si>
  <si>
    <t>Integração com hardware (pc, tv, geladeira,  etc..)</t>
  </si>
  <si>
    <t>Enviar  mensagem de voz</t>
  </si>
  <si>
    <t>Auxiliar o trabalho de Machine Learning</t>
  </si>
  <si>
    <t>Informa Status do agente (ativo, inativo, ausente,etc..)</t>
  </si>
  <si>
    <t>Ativação do pop-up</t>
  </si>
  <si>
    <t>Representação grafica do teclado do telefone</t>
  </si>
  <si>
    <t>Efetuar, atender ou desligar uma ligação</t>
  </si>
  <si>
    <t>2-Proposições de Valor</t>
  </si>
  <si>
    <t>Perguntas Importantes</t>
  </si>
  <si>
    <t>Armazenar contato</t>
  </si>
  <si>
    <t>1) Que valor nos Entregamos para os Clientes?</t>
  </si>
  <si>
    <t>2) Quais problemas nos estamos ajudando resolver?</t>
  </si>
  <si>
    <t>3) Que Necessidades dos Clientes que nos estamos satisfazendo?</t>
  </si>
  <si>
    <t>4) Que pacotes de produtos/serviços nós estamos oferecendo para cada Segmento de Clientes?</t>
  </si>
  <si>
    <t xml:space="preserve">Fazer transferência de chamadas </t>
  </si>
  <si>
    <t>Respostas</t>
  </si>
  <si>
    <t>Padaria:</t>
  </si>
  <si>
    <t>Identificar a jornada, hábitos e prefrências dos clientes</t>
  </si>
  <si>
    <t>Mapear as demandas de maneira perzonalizada</t>
  </si>
  <si>
    <t>Monitorar os pedidos, produção, produtos e entrega</t>
  </si>
  <si>
    <t>Detectar e corrigir falhas nos equipamentos e sistemas</t>
  </si>
  <si>
    <t>Agilizar a comunicação com clientes, fornecedores e colaboradores</t>
  </si>
  <si>
    <t>Voltar Menu Principal</t>
  </si>
  <si>
    <t>Falar e ouvir as conversas num computador</t>
  </si>
  <si>
    <t>Identificar possíveis furtos,  perdas e desperdícios</t>
  </si>
  <si>
    <t>IR para o Canvas</t>
  </si>
  <si>
    <t>Clientes:</t>
  </si>
  <si>
    <t>Pesquisar produtos on-line</t>
  </si>
  <si>
    <t xml:space="preserve">Compra e pagamento via aplicativos </t>
  </si>
  <si>
    <t>Atendimento personalizado</t>
  </si>
  <si>
    <t>Efetuar pedido por diferentes canais de comunicação</t>
  </si>
  <si>
    <t>Acompanhar o status do pedido</t>
  </si>
  <si>
    <t xml:space="preserve">  </t>
  </si>
  <si>
    <t>Histórico de chamadas</t>
  </si>
  <si>
    <t>Realizar vídeo-conferência</t>
  </si>
  <si>
    <t>Troca de mensagens, imagens e documentos durante a conversação</t>
  </si>
  <si>
    <t>Sala de reunião virtual</t>
  </si>
  <si>
    <t>Gravação e reprodução de reuniões</t>
  </si>
  <si>
    <t>Integração de aplicaçoes</t>
  </si>
  <si>
    <t>Serviço de streaming</t>
  </si>
  <si>
    <t>Armazenamento de dados</t>
  </si>
  <si>
    <t>Criação de Máquinas Virtuais</t>
  </si>
  <si>
    <t>1-Segmentos de Clientes</t>
  </si>
  <si>
    <t>Configuração de VPN</t>
  </si>
  <si>
    <t>1) Para quem estamos criando VALOR?</t>
  </si>
  <si>
    <t>2) Quais são as caracteristicas destes  segmentos?</t>
  </si>
  <si>
    <t>3) Quem são os nossos potenciais clientes mais importantes?</t>
  </si>
  <si>
    <t>Configuração de Firewall</t>
  </si>
  <si>
    <t>Padarias</t>
  </si>
  <si>
    <t>Configuração do Load Balance</t>
  </si>
  <si>
    <t>Gerenciamento de Patch</t>
  </si>
  <si>
    <t>Conexão de dispositivos à nuvem</t>
  </si>
  <si>
    <t>Tranferencia de dados on-line</t>
  </si>
  <si>
    <t>Desenvolvimento e programação de aplicações (Lianja)</t>
  </si>
  <si>
    <t>Recuperação de desatres</t>
  </si>
  <si>
    <t>Backup de dados</t>
  </si>
  <si>
    <t>Consulta a banco de dados</t>
  </si>
  <si>
    <t>Interagir com pessoas</t>
  </si>
  <si>
    <t>Efetuar comunicação com dispostivos (ar condicionado, forno, cameras, etc..)</t>
  </si>
  <si>
    <t>3-Canais</t>
  </si>
  <si>
    <t>1) Por quais Canais nossos Segmentos de Clientes podem/querem ser abordados?</t>
  </si>
  <si>
    <t>2) Como esses Canais estão integrados?</t>
  </si>
  <si>
    <t>3) Qual é o Custo/Benefício da utilização de cada Canal?</t>
  </si>
  <si>
    <t>4) Como os alcançamos agora?</t>
  </si>
  <si>
    <t>Abrir e trabalhar com os aplicativos na rede</t>
  </si>
  <si>
    <t>Appliance com Solução Embarcada</t>
  </si>
  <si>
    <t>Plataforma com Multi-Aplicativos local ou Nuvem</t>
  </si>
  <si>
    <t>Revenda feitas por Parceiros Estratégicos</t>
  </si>
  <si>
    <t>Sindicatos das Padarias</t>
  </si>
  <si>
    <t>Eventos do Segmento (Feiras, Workshops etc..)</t>
  </si>
  <si>
    <t>Sites</t>
  </si>
  <si>
    <t>Enviar mensagens de voz e/ou texto</t>
  </si>
  <si>
    <t>WhatsApp</t>
  </si>
  <si>
    <t>Sociais (youtube, facebook..)</t>
  </si>
  <si>
    <t>Distribuidores</t>
  </si>
  <si>
    <t>Monitorar hardware, software, produtos e pessoas</t>
  </si>
  <si>
    <t>Realizar chamadas telefonicas e de vídeo</t>
  </si>
  <si>
    <t>Acionar alarmes, alertas e notificações</t>
  </si>
  <si>
    <t>Gerenciar máquinas e equipamentos</t>
  </si>
  <si>
    <t>Oferecer sugestões baseada em analise de dados</t>
  </si>
  <si>
    <t>Executar tarefas por comando de voz</t>
  </si>
  <si>
    <t>Vericar informações em real time</t>
  </si>
  <si>
    <t>Sincronizar e auxiliar as ações da agenda/calendário</t>
  </si>
  <si>
    <t>Geração de KPI’s</t>
  </si>
  <si>
    <t>4-Relacionamento com Clientes</t>
  </si>
  <si>
    <t>Criar Dashboards</t>
  </si>
  <si>
    <t>1) Que tipo de relacionamento os clientes de cada segmento podem esperar?</t>
  </si>
  <si>
    <t>2) Qual é o custo de cada um deles?</t>
  </si>
  <si>
    <t>3) Como isso está integrado ao Modelo de Negócio como um todo?</t>
  </si>
  <si>
    <t>4) O que pode se esperar em termos de aquisição e retenção para esse tipo de relacionamento?</t>
  </si>
  <si>
    <t>Dados disponíveis em tempo real</t>
  </si>
  <si>
    <t xml:space="preserve">Ações de Marketing </t>
  </si>
  <si>
    <t>Eventos para Canais (Results Summit)</t>
  </si>
  <si>
    <t>Webinars</t>
  </si>
  <si>
    <t>Banners nas Padarias</t>
  </si>
  <si>
    <t>Workshops de Harmonização</t>
  </si>
  <si>
    <t>Atendimento (Call Center)</t>
  </si>
  <si>
    <t>Integração com soluções do mercado (excel, google analitics, etc..)</t>
  </si>
  <si>
    <t/>
  </si>
  <si>
    <t>Extração Query Report</t>
  </si>
  <si>
    <t>Pedido de entrega</t>
  </si>
  <si>
    <t>Filtro da situação dos pedidos (Solicitação,Produção e Entrega)</t>
  </si>
  <si>
    <t>Monitoramento dos entregadores</t>
  </si>
  <si>
    <t>Calcular a melhor rota de entrega</t>
  </si>
  <si>
    <t>Cardapio digital</t>
  </si>
  <si>
    <t>Integração com plataformas de entrega de produtos (ifood, uber, rapi,etc..)</t>
  </si>
  <si>
    <t>Monitor de preparos e produção</t>
  </si>
  <si>
    <t>Identificação automática de clientes</t>
  </si>
  <si>
    <t>App proprio de delivery</t>
  </si>
  <si>
    <t>5-Fontes de Receita</t>
  </si>
  <si>
    <t>1) O que o cliente valoriza e pelo qual está disposto a pagar?</t>
  </si>
  <si>
    <t>2) O que eles têm pago ultimamente para resolver o mesmo problema?</t>
  </si>
  <si>
    <t>3) De que maneira eles preferem pagar pelo valor gerado?</t>
  </si>
  <si>
    <t>4) Qual é a parcela de contribuição de cada fonte de receita para a receita total esperada?</t>
  </si>
  <si>
    <t>Controle financeiro (recebimento, tipo de pagto, troco, etc..)</t>
  </si>
  <si>
    <t>Plano Basico Mensal</t>
  </si>
  <si>
    <t>Plano Médio Mensal</t>
  </si>
  <si>
    <t>Plano Avançado Mensal</t>
  </si>
  <si>
    <t>Consulta de produtos com busca por código e descrição</t>
  </si>
  <si>
    <t>Gestão de tempo de entrega</t>
  </si>
  <si>
    <t>Sugestão da taxa de entrega</t>
  </si>
  <si>
    <t>Sugestão para os próximos pedidos do mesmo cliente</t>
  </si>
  <si>
    <t>Emissão de cupom e nota fiscal</t>
  </si>
  <si>
    <t>Integração com SAT e TEF</t>
  </si>
  <si>
    <t>Integração com ERP´s</t>
  </si>
  <si>
    <t>Leitura de código de barras e QR code</t>
  </si>
  <si>
    <t>6-Recursos-Chave</t>
  </si>
  <si>
    <t>1) Que Recursos-Chave são importantes para a nossa proposição de valor?</t>
  </si>
  <si>
    <t>2) Para sustentar os Canais?</t>
  </si>
  <si>
    <t>Integração com comanda convencional</t>
  </si>
  <si>
    <t>3) Para manter o Relacionamentos com os Clientes?</t>
  </si>
  <si>
    <t>4) Para implementar(alcançar) as Fontes de Receita?</t>
  </si>
  <si>
    <r>
      <rPr>
        <rFont val="Arial"/>
        <color rgb="FF000000"/>
        <sz val="10.0"/>
      </rPr>
      <t xml:space="preserve">Desenvolvedores </t>
    </r>
    <r>
      <rPr>
        <rFont val="Arial"/>
        <b/>
        <color rgb="FF000000"/>
        <sz val="10.0"/>
      </rPr>
      <t xml:space="preserve">Polivalente </t>
    </r>
    <r>
      <rPr>
        <rFont val="Arial"/>
        <color rgb="FF000000"/>
        <sz val="10.0"/>
      </rPr>
      <t>(Java, Phyton etc..)</t>
    </r>
  </si>
  <si>
    <t>Integração com comanda digital</t>
  </si>
  <si>
    <r>
      <rPr>
        <rFont val="Arial"/>
        <color rgb="FF000000"/>
        <sz val="10.0"/>
      </rPr>
      <t xml:space="preserve">Especialistas de </t>
    </r>
    <r>
      <rPr>
        <rFont val="Arial"/>
        <b/>
        <color rgb="FF000000"/>
        <sz val="10.0"/>
      </rPr>
      <t xml:space="preserve">UX </t>
    </r>
  </si>
  <si>
    <r>
      <rPr>
        <rFont val="Arial"/>
        <color rgb="FF000000"/>
        <sz val="10.0"/>
      </rPr>
      <t xml:space="preserve">Equipamentos Eletronicos para </t>
    </r>
    <r>
      <rPr>
        <rFont val="Arial"/>
        <b/>
        <color rgb="FF000000"/>
        <sz val="10.0"/>
      </rPr>
      <t>IoT</t>
    </r>
  </si>
  <si>
    <r>
      <rPr>
        <rFont val="Arial"/>
        <color rgb="FF000000"/>
        <sz val="10.0"/>
      </rPr>
      <t xml:space="preserve">Serviços em </t>
    </r>
    <r>
      <rPr>
        <rFont val="Arial"/>
        <b/>
        <color rgb="FF000000"/>
        <sz val="10.0"/>
      </rPr>
      <t>Nuvem</t>
    </r>
  </si>
  <si>
    <r>
      <rPr>
        <rFont val="Arial"/>
        <color rgb="FF000000"/>
        <sz val="10.0"/>
      </rPr>
      <t xml:space="preserve">Logistica (movimentação de </t>
    </r>
    <r>
      <rPr>
        <rFont val="Arial"/>
        <b/>
        <color rgb="FF000000"/>
        <sz val="10.0"/>
      </rPr>
      <t>Hardware</t>
    </r>
    <r>
      <rPr>
        <rFont val="Arial"/>
        <color rgb="FF000000"/>
        <sz val="10.0"/>
      </rPr>
      <t>)</t>
    </r>
  </si>
  <si>
    <t>Atendimento Vendas e Suporte Tecnico</t>
  </si>
  <si>
    <r>
      <rPr>
        <rFont val="Arial"/>
        <color rgb="FF000000"/>
        <sz val="10.0"/>
      </rPr>
      <t xml:space="preserve">Atendimento </t>
    </r>
    <r>
      <rPr>
        <rFont val="Arial"/>
        <b/>
        <color rgb="FF000000"/>
        <sz val="10.0"/>
      </rPr>
      <t>Rede de Distribuidores</t>
    </r>
  </si>
  <si>
    <t>Recursos Financeiros (Investimentos)</t>
  </si>
  <si>
    <r>
      <rPr>
        <rFont val="Arial"/>
        <color rgb="FF000000"/>
        <sz val="10.0"/>
      </rPr>
      <t xml:space="preserve">Profissional de </t>
    </r>
    <r>
      <rPr>
        <rFont val="Arial"/>
        <b/>
        <color rgb="FF000000"/>
        <sz val="10.0"/>
      </rPr>
      <t>Adoção de Tecnologia</t>
    </r>
  </si>
  <si>
    <r>
      <rPr>
        <rFont val="Arial"/>
        <color rgb="FFFFFFFF"/>
      </rPr>
      <t xml:space="preserve">Departamento de </t>
    </r>
    <r>
      <rPr>
        <rFont val="Arial"/>
        <b/>
        <color rgb="FFFFFFFF"/>
      </rPr>
      <t>SAC/Ouvidoria</t>
    </r>
  </si>
  <si>
    <t>BackOffice</t>
  </si>
  <si>
    <t>Marketing</t>
  </si>
  <si>
    <t>Conciliação de cartões</t>
  </si>
  <si>
    <t>Controle de mesas</t>
  </si>
  <si>
    <t>Processamento analítico de dados via data mining</t>
  </si>
  <si>
    <t>Interpretação e apresentação de dados</t>
  </si>
  <si>
    <t>Aprendizagem de máquina</t>
  </si>
  <si>
    <t>Simulação de cenários</t>
  </si>
  <si>
    <t>Medição de desempenho</t>
  </si>
  <si>
    <t>Verificação dos processos</t>
  </si>
  <si>
    <t>7-Atividades-Chave</t>
  </si>
  <si>
    <t>1) Que Atividades-Chave são importantes para a nossa proposição de valor?</t>
  </si>
  <si>
    <t>Treinamento da Rede</t>
  </si>
  <si>
    <t>Desenvolvimento de Software</t>
  </si>
  <si>
    <t>Ações de Marketing</t>
  </si>
  <si>
    <t>Backoffice (contabilidade, financeiro, etc..)</t>
  </si>
  <si>
    <t xml:space="preserve">Monitoramento de dados e sistemas </t>
  </si>
  <si>
    <t>Atendimento/Suporte ao Cliente</t>
  </si>
  <si>
    <t>Comercial</t>
  </si>
  <si>
    <t>P&amp;D</t>
  </si>
  <si>
    <t>8-Parcerias Chave</t>
  </si>
  <si>
    <t>1) Quais devem ser nossos parceiros-chave?</t>
  </si>
  <si>
    <t>2) Quem são os fornecedores estratégicos?</t>
  </si>
  <si>
    <t>3) Quais recursos-chave estamos obtendo deles?</t>
  </si>
  <si>
    <t>4) E quais atividades-chave eles produzem?</t>
  </si>
  <si>
    <t>Fabricas de Software</t>
  </si>
  <si>
    <t>Data Centers</t>
  </si>
  <si>
    <r>
      <rPr>
        <rFont val="Arial"/>
        <color rgb="FF000000"/>
        <sz val="10.0"/>
      </rPr>
      <t xml:space="preserve">Parceiros de </t>
    </r>
    <r>
      <rPr>
        <rFont val="Arial"/>
        <b/>
        <color rgb="FF000000"/>
        <sz val="10.0"/>
      </rPr>
      <t xml:space="preserve">Backoffice </t>
    </r>
    <r>
      <rPr>
        <rFont val="Arial"/>
        <color rgb="FF000000"/>
        <sz val="10.0"/>
      </rPr>
      <t>(Contabilidade, Juridico etc..)</t>
    </r>
  </si>
  <si>
    <t>Associações (Abip, Sampapão, Rio+Pão, Sebrae, etc..)</t>
  </si>
  <si>
    <t>Agencias de Marketing e Publicidade</t>
  </si>
  <si>
    <t>Rede de Distribuidores</t>
  </si>
  <si>
    <t>Investidores</t>
  </si>
  <si>
    <t>Universidades (USP, FEI etc..)</t>
  </si>
  <si>
    <t>Lianja</t>
  </si>
  <si>
    <t xml:space="preserve">Consultorias e Mentorias </t>
  </si>
  <si>
    <t>Padaria Piloto</t>
  </si>
  <si>
    <t xml:space="preserve"> </t>
  </si>
  <si>
    <t>9-Estrutura de Custos</t>
  </si>
  <si>
    <t>1) Quais são os custos mais importantes inerentes ao nosso modelo de negócio?</t>
  </si>
  <si>
    <t>2) Quais recursos-chave são os mais caros?</t>
  </si>
  <si>
    <t>3) Quais atividades-chave são as mais caras?</t>
  </si>
  <si>
    <t>4) Quais dos custos são Variaveis e quais são Fixos?</t>
  </si>
  <si>
    <t xml:space="preserve">Licenciamento </t>
  </si>
  <si>
    <t>Infraestrutura</t>
  </si>
  <si>
    <t>Pessoal</t>
  </si>
  <si>
    <t>Backoffice (com todos parceiros)</t>
  </si>
  <si>
    <t>Treinamentos e Capacitação</t>
  </si>
  <si>
    <t>Historico das Reuniões</t>
  </si>
  <si>
    <t>Data</t>
  </si>
  <si>
    <t>Quem</t>
  </si>
  <si>
    <t>Implantar do Sistema  2,5 Padarias por Semana</t>
  </si>
  <si>
    <t>Paulo</t>
  </si>
  <si>
    <t>Life time de 8 meses</t>
  </si>
  <si>
    <t>Criar KPIs para monitorar o Sucesso do Cliente</t>
  </si>
  <si>
    <t>Tom</t>
  </si>
  <si>
    <t>Mais que uma Solução... um desenvolvimento de um Mercado</t>
  </si>
  <si>
    <t>Temos que pensar como um Fabricante... Distribuidor para a entrega para Padaria</t>
  </si>
  <si>
    <t xml:space="preserve">Gestão de Riscos </t>
  </si>
  <si>
    <t>Autor</t>
  </si>
  <si>
    <t>Risco</t>
  </si>
  <si>
    <t>Mitigação</t>
  </si>
  <si>
    <t>Tipo</t>
  </si>
  <si>
    <t>Probabilidade</t>
  </si>
  <si>
    <t>Impacto</t>
  </si>
  <si>
    <t>Severidade</t>
  </si>
  <si>
    <t>A utilização de linguagens de Programação com baixo conhecimento no mercado pode prejudicar a busca por profissionais</t>
  </si>
  <si>
    <t>Utilizar linguagens com alta disponibilidade de especialista no Mercado</t>
  </si>
  <si>
    <t>3-Alto</t>
  </si>
  <si>
    <t>2-Medio</t>
  </si>
  <si>
    <t>Hugo</t>
  </si>
  <si>
    <t>Falta de definição clara do Tipo de Solução que sera ofertada: Software, Hardware, Consultoria podera confundir a cabeça do Investidores e demais integrantes do grupo.</t>
  </si>
  <si>
    <t>Fazer uma declaração de Missão com foco no Objetivo da Padaria 4.0 e visão para 3 anos (ou mais).</t>
  </si>
  <si>
    <t>Negócio</t>
  </si>
  <si>
    <t>Na tercerização do DEV, alguem pode "roubar" a ideia e vender para outras pessoas (ou até mesmo implementar)</t>
  </si>
  <si>
    <t>Criar arquitetura de forma modular no melhor estilo "lego" e fatiar o DEV em várias fábricas de software (ou desenvolvedores "freelas"). Ex: BlueCore, Workana etc.</t>
  </si>
  <si>
    <r>
      <rPr>
        <rFont val="Arial"/>
        <color theme="1"/>
        <sz val="10.0"/>
      </rPr>
      <t xml:space="preserve">Falta de </t>
    </r>
    <r>
      <rPr>
        <rFont val="Arial"/>
        <b/>
        <color theme="1"/>
        <sz val="10.0"/>
      </rPr>
      <t>mdo especializada</t>
    </r>
    <r>
      <rPr>
        <rFont val="Arial"/>
        <color theme="1"/>
        <sz val="10.0"/>
      </rPr>
      <t xml:space="preserve"> nas Padarias para auxiliar na implantação do </t>
    </r>
    <r>
      <rPr>
        <rFont val="Arial"/>
        <b/>
        <color theme="1"/>
        <sz val="10.0"/>
      </rPr>
      <t>Produto Padaria 4.0</t>
    </r>
    <r>
      <rPr>
        <rFont val="Arial"/>
        <color theme="1"/>
        <sz val="10.0"/>
      </rPr>
      <t>. pode retardar o crescimento.</t>
    </r>
  </si>
  <si>
    <t>Aplicação da Adoção de Tecnologia para os profissionais da Padaria. Desenvolver Tecnologia de Inteligencia Artifical para ajudar na capacitação de pessoas.</t>
  </si>
  <si>
    <t>Pessoa</t>
  </si>
  <si>
    <r>
      <rPr>
        <rFont val="Arial"/>
        <b/>
        <color theme="1"/>
        <sz val="10.0"/>
      </rPr>
      <t xml:space="preserve">LGPD </t>
    </r>
    <r>
      <rPr>
        <rFont val="Arial"/>
        <color theme="1"/>
        <sz val="10.0"/>
      </rPr>
      <t>poderá comprometer pela restrição de troca de informações para alimentar as analises</t>
    </r>
  </si>
  <si>
    <r>
      <rPr>
        <rFont val="Arial"/>
        <color theme="1"/>
        <sz val="10.0"/>
      </rPr>
      <t xml:space="preserve">Contrato entre </t>
    </r>
    <r>
      <rPr>
        <rFont val="Arial"/>
        <b/>
        <color theme="1"/>
        <sz val="10.0"/>
      </rPr>
      <t>Results e Padaria</t>
    </r>
    <r>
      <rPr>
        <rFont val="Arial"/>
        <color theme="1"/>
        <sz val="10.0"/>
      </rPr>
      <t xml:space="preserve"> para suportar esta troca de informações. Outro ponto é trabalhar com amostragem para não identificar a pessoa fisica.</t>
    </r>
  </si>
  <si>
    <t>1-Baixo</t>
  </si>
  <si>
    <t>Resistência a implementação de novas tecnologias</t>
  </si>
  <si>
    <t>?????????</t>
  </si>
  <si>
    <r>
      <rPr>
        <rFont val="Arial"/>
        <color rgb="FFFFFFFF"/>
        <sz val="18.0"/>
      </rPr>
      <t xml:space="preserve">Dashboard do </t>
    </r>
    <r>
      <rPr>
        <rFont val="Arial"/>
        <b/>
        <color rgb="FFFFFFFF"/>
        <sz val="18.0"/>
      </rPr>
      <t xml:space="preserve">Blueprint </t>
    </r>
    <r>
      <rPr>
        <rFont val="Arial"/>
        <color rgb="FFFFFFFF"/>
        <sz val="18.0"/>
      </rPr>
      <t xml:space="preserve">para entender o </t>
    </r>
    <r>
      <rPr>
        <rFont val="Arial"/>
        <b/>
        <color rgb="FFFFFFFF"/>
        <sz val="18.0"/>
      </rPr>
      <t>GAP</t>
    </r>
    <r>
      <rPr>
        <rFont val="Arial"/>
        <color rgb="FFFFFFFF"/>
        <sz val="18.0"/>
      </rPr>
      <t xml:space="preserve">  da solução desejada e definir um </t>
    </r>
    <r>
      <rPr>
        <rFont val="Arial"/>
        <b/>
        <i/>
        <color rgb="FFFFFFFF"/>
        <sz val="18.0"/>
      </rPr>
      <t>Plano de Ação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</si>
</sst>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"/>
  </numFmts>
  <fonts count="38">
    <font>
      <sz val="11.0"/>
      <color theme="1"/>
      <name val="Calibri"/>
      <scheme val="minor"/>
    </font>
    <font>
      <b/>
      <sz val="14.0"/>
      <color rgb="FFFFFFFF"/>
      <name val="Arial"/>
    </font>
    <font>
      <b/>
      <sz val="18.0"/>
      <color rgb="FFFFFFFF"/>
      <name val="Arial"/>
    </font>
    <font>
      <b/>
      <sz val="18.0"/>
      <color rgb="FF073763"/>
      <name val="Comic Sans MS"/>
    </font>
    <font>
      <b/>
      <color rgb="FFFFFFFF"/>
      <name val="Arial"/>
    </font>
    <font>
      <sz val="11.0"/>
      <color rgb="FFFFFFFF"/>
      <name val="Arial"/>
    </font>
    <font>
      <sz val="11.0"/>
      <color theme="1"/>
      <name val="Arial"/>
    </font>
    <font>
      <sz val="10.0"/>
      <color theme="1"/>
      <name val="Arial"/>
    </font>
    <font>
      <u/>
      <sz val="11.0"/>
      <color rgb="FF0000FF"/>
      <name val="Arial"/>
    </font>
    <font>
      <color theme="1"/>
      <name val="Arial"/>
    </font>
    <font>
      <b/>
      <color theme="1"/>
      <name val="Arial"/>
    </font>
    <font>
      <color theme="1"/>
      <name val="Calibri"/>
      <scheme val="minor"/>
    </font>
    <font>
      <sz val="10.0"/>
      <color theme="1"/>
      <name val="Calibri"/>
      <scheme val="minor"/>
    </font>
    <font>
      <b/>
      <sz val="12.0"/>
      <color rgb="FFFFFFFF"/>
      <name val="Arial"/>
    </font>
    <font>
      <color rgb="FFFFFFFF"/>
      <name val="Arial"/>
    </font>
    <font/>
    <font>
      <sz val="12.0"/>
      <color theme="1"/>
      <name val="Arial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b/>
      <sz val="12.0"/>
      <color theme="1"/>
      <name val="Arial"/>
    </font>
    <font>
      <b/>
      <sz val="11.0"/>
      <color rgb="FFFFFFFF"/>
      <name val="Arial"/>
    </font>
    <font>
      <b/>
      <u/>
      <sz val="11.0"/>
      <color theme="0"/>
    </font>
    <font>
      <b/>
      <u/>
      <sz val="11.0"/>
      <color theme="0"/>
    </font>
    <font>
      <b/>
      <u/>
      <sz val="11.0"/>
      <color theme="0"/>
    </font>
    <font>
      <b/>
      <u/>
      <sz val="11.0"/>
      <color theme="0"/>
    </font>
    <font>
      <b/>
      <u/>
      <sz val="11.0"/>
      <color theme="0"/>
      <name val="Calibri"/>
      <scheme val="minor"/>
    </font>
    <font>
      <b/>
      <sz val="18.0"/>
      <color rgb="FFFFFFFF"/>
      <name val="Comic Sans MS"/>
    </font>
    <font>
      <b/>
      <sz val="11.0"/>
      <color theme="1"/>
      <name val="Calibri"/>
      <scheme val="minor"/>
    </font>
    <font>
      <b/>
      <sz val="10.0"/>
      <color rgb="FF000000"/>
      <name val="Arial"/>
    </font>
    <font>
      <sz val="10.0"/>
      <color rgb="FF000000"/>
      <name val="Arial"/>
    </font>
    <font>
      <u/>
      <sz val="14.0"/>
      <color rgb="FFFFFFFF"/>
      <name val="Arial"/>
    </font>
    <font>
      <b/>
      <u/>
      <sz val="14.0"/>
      <color rgb="FF0000FF"/>
      <name val="Arial"/>
    </font>
    <font>
      <b/>
      <sz val="18.0"/>
      <color theme="0"/>
      <name val="Comic Sans MS"/>
    </font>
    <font>
      <u/>
      <sz val="14.0"/>
      <color rgb="FFFFFFFF"/>
      <name val="Arial"/>
    </font>
    <font>
      <b/>
      <u/>
      <sz val="14.0"/>
      <color rgb="FF0000FF"/>
      <name val="Arial"/>
    </font>
    <font>
      <sz val="10.0"/>
      <color rgb="FF000000"/>
      <name val="Calibri"/>
      <scheme val="minor"/>
    </font>
    <font>
      <b/>
      <sz val="14.0"/>
      <color rgb="FF000000"/>
      <name val="Arial"/>
    </font>
    <font>
      <sz val="18.0"/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93C47D"/>
        <bgColor rgb="FF93C47D"/>
      </patternFill>
    </fill>
    <fill>
      <patternFill patternType="solid">
        <fgColor rgb="FFE7F9EF"/>
        <bgColor rgb="FFE7F9EF"/>
      </patternFill>
    </fill>
    <fill>
      <patternFill patternType="solid">
        <fgColor rgb="FF0C343D"/>
        <bgColor rgb="FF0C343D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980000"/>
        <bgColor rgb="FF980000"/>
      </patternFill>
    </fill>
    <fill>
      <patternFill patternType="solid">
        <fgColor rgb="FF78909C"/>
        <bgColor rgb="FF78909C"/>
      </patternFill>
    </fill>
    <fill>
      <patternFill patternType="solid">
        <fgColor rgb="FFB7B7B7"/>
        <bgColor rgb="FFB7B7B7"/>
      </patternFill>
    </fill>
    <fill>
      <patternFill patternType="solid">
        <fgColor theme="6"/>
        <bgColor theme="6"/>
      </patternFill>
    </fill>
    <fill>
      <patternFill patternType="solid">
        <fgColor rgb="FFEBEFF1"/>
        <bgColor rgb="FFEBEFF1"/>
      </patternFill>
    </fill>
    <fill>
      <patternFill patternType="solid">
        <fgColor rgb="FF1F497D"/>
        <bgColor rgb="FF1F497D"/>
      </patternFill>
    </fill>
    <fill>
      <patternFill patternType="solid">
        <fgColor rgb="FF0000FF"/>
        <bgColor rgb="FF0000FF"/>
      </patternFill>
    </fill>
    <fill>
      <patternFill patternType="solid">
        <fgColor rgb="FFD9D9D9"/>
        <bgColor rgb="FFD9D9D9"/>
      </patternFill>
    </fill>
    <fill>
      <patternFill patternType="solid">
        <fgColor rgb="FF8064A2"/>
        <bgColor rgb="FF8064A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92D050"/>
        <bgColor rgb="FF92D050"/>
      </patternFill>
    </fill>
    <fill>
      <patternFill patternType="solid">
        <fgColor rgb="FFA5A5A5"/>
        <bgColor rgb="FFA5A5A5"/>
      </patternFill>
    </fill>
    <fill>
      <patternFill patternType="solid">
        <fgColor rgb="FFCC0000"/>
        <bgColor rgb="FFCC0000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right style="thin">
        <color rgb="FF0000FF"/>
      </right>
      <top style="thin">
        <color rgb="FF0000FF"/>
      </top>
    </border>
    <border>
      <left style="thin">
        <color rgb="FF0000FF"/>
      </left>
      <top style="thin">
        <color rgb="FF0000FF"/>
      </top>
      <bottom style="thin">
        <color rgb="FF0000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left" readingOrder="0" shrinkToFit="0" wrapText="1"/>
    </xf>
    <xf borderId="1" fillId="0" fontId="4" numFmtId="0" xfId="0" applyAlignment="1" applyBorder="1" applyFont="1">
      <alignment readingOrder="0"/>
    </xf>
    <xf borderId="2" fillId="5" fontId="5" numFmtId="0" xfId="0" applyAlignment="1" applyBorder="1" applyFill="1" applyFont="1">
      <alignment readingOrder="0"/>
    </xf>
    <xf borderId="1" fillId="0" fontId="6" numFmtId="0" xfId="0" applyAlignment="1" applyBorder="1" applyFont="1">
      <alignment readingOrder="0" vertical="center"/>
    </xf>
    <xf borderId="3" fillId="6" fontId="7" numFmtId="0" xfId="0" applyAlignment="1" applyBorder="1" applyFill="1" applyFont="1">
      <alignment readingOrder="0" vertical="center"/>
    </xf>
    <xf borderId="1" fillId="0" fontId="8" numFmtId="0" xfId="0" applyAlignment="1" applyBorder="1" applyFont="1">
      <alignment readingOrder="0" vertical="center"/>
    </xf>
    <xf borderId="1" fillId="0" fontId="6" numFmtId="0" xfId="0" applyAlignment="1" applyBorder="1" applyFont="1">
      <alignment readingOrder="0" shrinkToFit="0" vertical="center" wrapText="1"/>
    </xf>
    <xf borderId="3" fillId="6" fontId="7" numFmtId="0" xfId="0" applyAlignment="1" applyBorder="1" applyFill="1" applyFont="1">
      <alignment readingOrder="0" shrinkToFit="0" vertical="center" wrapText="1"/>
    </xf>
    <xf borderId="1" fillId="6" fontId="7" numFmtId="0" xfId="0" applyAlignment="1" applyBorder="1" applyFill="1" applyFont="1">
      <alignment readingOrder="0" shrinkToFit="0" vertical="center" wrapText="1"/>
    </xf>
    <xf borderId="4" fillId="7" fontId="4" numFmtId="10" xfId="0" applyAlignment="1" applyBorder="1" applyFill="1" applyFont="1" applyNumberFormat="1">
      <alignment readingOrder="0"/>
    </xf>
    <xf borderId="1" fillId="8" fontId="7" numFmtId="0" xfId="0" applyAlignment="1" applyBorder="1" applyFill="1" applyFont="1">
      <alignment readingOrder="0" vertical="center"/>
    </xf>
    <xf borderId="1" fillId="8" fontId="7" numFmtId="0" xfId="0" applyAlignment="1" applyBorder="1" applyFill="1" applyFont="1">
      <alignment readingOrder="0" shrinkToFit="0" vertical="center" wrapText="1"/>
    </xf>
    <xf borderId="3" fillId="8" fontId="7" numFmtId="0" xfId="0" applyAlignment="1" applyBorder="1" applyFill="1" applyFont="1">
      <alignment readingOrder="0" shrinkToFit="0" vertical="center" wrapText="1"/>
    </xf>
    <xf borderId="3" fillId="8" fontId="7" numFmtId="0" xfId="0" applyAlignment="1" applyBorder="1" applyFill="1" applyFont="1">
      <alignment readingOrder="0" vertical="center"/>
    </xf>
    <xf borderId="1" fillId="6" fontId="7" numFmtId="0" xfId="0" applyAlignment="1" applyBorder="1" applyFill="1" applyFont="1">
      <alignment readingOrder="0" vertical="center"/>
    </xf>
    <xf borderId="0" fillId="9" fontId="2" numFmtId="0" xfId="0" applyAlignment="1" applyFill="1" applyFont="1">
      <alignment horizontal="center" readingOrder="0"/>
    </xf>
    <xf borderId="5" fillId="10" fontId="4" numFmtId="0" xfId="0" applyAlignment="1" applyBorder="1" applyFill="1" applyFont="1">
      <alignment readingOrder="0"/>
    </xf>
    <xf borderId="1" fillId="6" fontId="9" numFmtId="0" xfId="0" applyAlignment="1" applyBorder="1" applyFill="1" applyFont="1">
      <alignment readingOrder="0"/>
    </xf>
    <xf borderId="1" fillId="11" fontId="10" numFmtId="0" xfId="0" applyAlignment="1" applyBorder="1" applyFill="1" applyFont="1">
      <alignment readingOrder="0"/>
    </xf>
    <xf borderId="1" fillId="12" fontId="4" numFmtId="0" xfId="0" applyAlignment="1" applyBorder="1" applyFill="1" applyFont="1">
      <alignment readingOrder="0"/>
    </xf>
    <xf borderId="1" fillId="7" fontId="4" numFmtId="10" xfId="0" applyAlignment="1" applyBorder="1" applyFill="1" applyFont="1" applyNumberFormat="1">
      <alignment readingOrder="0"/>
    </xf>
    <xf borderId="1" fillId="13" fontId="9" numFmtId="0" xfId="0" applyAlignment="1" applyBorder="1" applyFill="1" applyFont="1">
      <alignment readingOrder="0"/>
    </xf>
    <xf borderId="1" fillId="6" fontId="11" numFmtId="0" xfId="0" applyBorder="1" applyFill="1" applyFont="1"/>
    <xf borderId="1" fillId="13" fontId="11" numFmtId="0" xfId="0" applyBorder="1" applyFill="1" applyFont="1"/>
    <xf borderId="1" fillId="8" fontId="7" numFmtId="164" xfId="0" applyAlignment="1" applyBorder="1" applyFill="1" applyFont="1" applyNumberFormat="1">
      <alignment readingOrder="0" vertical="center"/>
    </xf>
    <xf borderId="1" fillId="8" fontId="12" numFmtId="0" xfId="0" applyAlignment="1" applyBorder="1" applyFill="1" applyFont="1">
      <alignment vertical="center"/>
    </xf>
    <xf borderId="1" fillId="6" fontId="7" numFmtId="164" xfId="0" applyAlignment="1" applyBorder="1" applyFill="1" applyFont="1" applyNumberFormat="1">
      <alignment readingOrder="0" vertical="center"/>
    </xf>
    <xf borderId="1" fillId="6" fontId="12" numFmtId="0" xfId="0" applyAlignment="1" applyBorder="1" applyFill="1" applyFont="1">
      <alignment vertical="center"/>
    </xf>
    <xf borderId="0" fillId="2" fontId="11" numFmtId="0" xfId="0" applyFill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11" numFmtId="0" xfId="0" applyAlignment="1" applyFont="1">
      <alignment readingOrder="0"/>
    </xf>
    <xf borderId="0" fillId="14" fontId="2" numFmtId="0" xfId="0" applyAlignment="1" applyFill="1" applyFont="1">
      <alignment horizontal="center" readingOrder="0"/>
    </xf>
    <xf borderId="4" fillId="10" fontId="13" numFmtId="0" xfId="0" applyAlignment="1" applyBorder="1" applyFill="1" applyFont="1">
      <alignment readingOrder="0"/>
    </xf>
    <xf borderId="6" fillId="10" fontId="13" numFmtId="0" xfId="0" applyAlignment="1" applyBorder="1" applyFill="1" applyFont="1">
      <alignment readingOrder="0"/>
    </xf>
    <xf borderId="1" fillId="10" fontId="13" numFmtId="0" xfId="0" applyAlignment="1" applyBorder="1" applyFill="1" applyFont="1">
      <alignment readingOrder="0"/>
    </xf>
    <xf borderId="4" fillId="6" fontId="9" numFmtId="0" xfId="0" applyAlignment="1" applyBorder="1" applyFill="1" applyFont="1">
      <alignment readingOrder="0"/>
    </xf>
    <xf borderId="0" fillId="15" fontId="14" numFmtId="0" xfId="0" applyAlignment="1" applyFill="1" applyFont="1">
      <alignment horizontal="center" readingOrder="0"/>
    </xf>
    <xf borderId="1" fillId="15" fontId="14" numFmtId="0" xfId="0" applyAlignment="1" applyBorder="1" applyFill="1" applyFont="1">
      <alignment readingOrder="0"/>
    </xf>
    <xf borderId="1" fillId="0" fontId="9" numFmtId="0" xfId="0" applyAlignment="1" applyBorder="1" applyFont="1">
      <alignment readingOrder="0"/>
    </xf>
    <xf borderId="6" fillId="16" fontId="10" numFmtId="0" xfId="0" applyAlignment="1" applyBorder="1" applyFill="1" applyFont="1">
      <alignment readingOrder="0"/>
    </xf>
    <xf borderId="0" fillId="0" fontId="11" numFmtId="0" xfId="0" applyFont="1"/>
    <xf borderId="4" fillId="13" fontId="9" numFmtId="0" xfId="0" applyAlignment="1" applyBorder="1" applyFill="1" applyFont="1">
      <alignment readingOrder="0"/>
    </xf>
    <xf borderId="3" fillId="13" fontId="7" numFmtId="0" xfId="0" applyAlignment="1" applyBorder="1" applyFill="1" applyFont="1">
      <alignment readingOrder="0" vertical="center"/>
    </xf>
    <xf borderId="7" fillId="17" fontId="1" numFmtId="0" xfId="0" applyAlignment="1" applyBorder="1" applyFill="1" applyFont="1">
      <alignment horizontal="center" readingOrder="0" vertical="bottom"/>
    </xf>
    <xf borderId="8" fillId="0" fontId="15" numFmtId="0" xfId="0" applyBorder="1" applyFont="1"/>
    <xf borderId="9" fillId="0" fontId="15" numFmtId="0" xfId="0" applyBorder="1" applyFont="1"/>
    <xf borderId="0" fillId="17" fontId="1" numFmtId="0" xfId="0" applyAlignment="1" applyFill="1" applyFont="1">
      <alignment vertical="bottom"/>
    </xf>
    <xf borderId="1" fillId="17" fontId="1" numFmtId="0" xfId="0" applyAlignment="1" applyBorder="1" applyFill="1" applyFont="1">
      <alignment vertical="bottom"/>
    </xf>
    <xf borderId="1" fillId="17" fontId="1" numFmtId="0" xfId="0" applyAlignment="1" applyBorder="1" applyFill="1" applyFont="1">
      <alignment vertical="bottom"/>
    </xf>
    <xf borderId="1" fillId="0" fontId="16" numFmtId="0" xfId="0" applyAlignment="1" applyBorder="1" applyFont="1">
      <alignment readingOrder="0"/>
    </xf>
    <xf borderId="1" fillId="0" fontId="17" numFmtId="0" xfId="0" applyBorder="1" applyFont="1"/>
    <xf borderId="1" fillId="6" fontId="11" numFmtId="0" xfId="0" applyAlignment="1" applyBorder="1" applyFill="1" applyFont="1">
      <alignment readingOrder="0"/>
    </xf>
    <xf borderId="1" fillId="0" fontId="17" numFmtId="3" xfId="0" applyBorder="1" applyFont="1" applyNumberFormat="1"/>
    <xf borderId="1" fillId="13" fontId="11" numFmtId="0" xfId="0" applyAlignment="1" applyBorder="1" applyFill="1" applyFont="1">
      <alignment readingOrder="0"/>
    </xf>
    <xf borderId="1" fillId="0" fontId="18" numFmtId="0" xfId="0" applyAlignment="1" applyBorder="1" applyFont="1">
      <alignment readingOrder="0"/>
    </xf>
    <xf borderId="1" fillId="0" fontId="19" numFmtId="9" xfId="0" applyAlignment="1" applyBorder="1" applyFont="1" applyNumberFormat="1">
      <alignment readingOrder="0"/>
    </xf>
    <xf borderId="1" fillId="0" fontId="17" numFmtId="9" xfId="0" applyBorder="1" applyFont="1" applyNumberFormat="1"/>
    <xf borderId="1" fillId="0" fontId="18" numFmtId="0" xfId="0" applyBorder="1" applyFont="1"/>
    <xf borderId="1" fillId="0" fontId="17" numFmtId="1" xfId="0" applyBorder="1" applyFont="1" applyNumberFormat="1"/>
    <xf borderId="0" fillId="0" fontId="11" numFmtId="165" xfId="0" applyAlignment="1" applyFont="1" applyNumberFormat="1">
      <alignment readingOrder="0"/>
    </xf>
    <xf borderId="10" fillId="14" fontId="20" numFmtId="0" xfId="0" applyAlignment="1" applyBorder="1" applyFill="1" applyFont="1">
      <alignment horizontal="center" readingOrder="0"/>
    </xf>
    <xf borderId="10" fillId="14" fontId="21" numFmtId="0" xfId="0" applyAlignment="1" applyBorder="1" applyFill="1" applyFont="1">
      <alignment horizontal="center"/>
    </xf>
    <xf borderId="10" fillId="18" fontId="12" numFmtId="0" xfId="0" applyBorder="1" applyFill="1" applyFont="1"/>
    <xf borderId="11" fillId="18" fontId="12" numFmtId="0" xfId="0" applyBorder="1" applyFill="1" applyFont="1"/>
    <xf borderId="12" fillId="18" fontId="12" numFmtId="0" xfId="0" applyBorder="1" applyFill="1" applyFont="1"/>
    <xf borderId="13" fillId="18" fontId="12" numFmtId="0" xfId="0" applyBorder="1" applyFill="1" applyFont="1"/>
    <xf borderId="14" fillId="18" fontId="12" numFmtId="0" xfId="0" applyBorder="1" applyFill="1" applyFont="1"/>
    <xf borderId="15" fillId="18" fontId="12" numFmtId="0" xfId="0" applyBorder="1" applyFill="1" applyFont="1"/>
    <xf borderId="16" fillId="18" fontId="12" numFmtId="0" xfId="0" applyBorder="1" applyFill="1" applyFont="1"/>
    <xf borderId="17" fillId="18" fontId="12" numFmtId="0" xfId="0" applyBorder="1" applyFill="1" applyFont="1"/>
    <xf borderId="15" fillId="14" fontId="22" numFmtId="0" xfId="0" applyAlignment="1" applyBorder="1" applyFill="1" applyFont="1">
      <alignment horizontal="center"/>
    </xf>
    <xf borderId="14" fillId="14" fontId="23" numFmtId="0" xfId="0" applyAlignment="1" applyBorder="1" applyFill="1" applyFont="1">
      <alignment horizontal="center"/>
    </xf>
    <xf borderId="18" fillId="14" fontId="24" numFmtId="0" xfId="0" applyAlignment="1" applyBorder="1" applyFill="1" applyFont="1">
      <alignment horizontal="center"/>
    </xf>
    <xf borderId="19" fillId="0" fontId="15" numFmtId="0" xfId="0" applyBorder="1" applyFont="1"/>
    <xf borderId="20" fillId="0" fontId="15" numFmtId="0" xfId="0" applyBorder="1" applyFont="1"/>
    <xf borderId="21" fillId="14" fontId="25" numFmtId="0" xfId="0" applyAlignment="1" applyBorder="1" applyFill="1" applyFont="1">
      <alignment horizontal="center"/>
    </xf>
    <xf borderId="22" fillId="0" fontId="15" numFmtId="0" xfId="0" applyBorder="1" applyFont="1"/>
    <xf borderId="23" fillId="18" fontId="12" numFmtId="0" xfId="0" applyBorder="1" applyFill="1" applyFont="1"/>
    <xf borderId="19" fillId="18" fontId="12" numFmtId="0" xfId="0" applyBorder="1" applyFill="1" applyFont="1"/>
    <xf borderId="24" fillId="18" fontId="0" numFmtId="0" xfId="0" applyAlignment="1" applyBorder="1" applyFill="1" applyFont="1">
      <alignment horizontal="left"/>
    </xf>
    <xf borderId="25" fillId="0" fontId="15" numFmtId="0" xfId="0" applyBorder="1" applyFont="1"/>
    <xf borderId="26" fillId="0" fontId="15" numFmtId="0" xfId="0" applyBorder="1" applyFont="1"/>
    <xf borderId="24" fillId="18" fontId="12" numFmtId="0" xfId="0" applyAlignment="1" applyBorder="1" applyFill="1" applyFont="1">
      <alignment horizontal="left"/>
    </xf>
    <xf borderId="15" fillId="14" fontId="26" numFmtId="0" xfId="0" applyAlignment="1" applyBorder="1" applyFill="1" applyFont="1">
      <alignment horizontal="center" readingOrder="0"/>
    </xf>
    <xf borderId="10" fillId="19" fontId="27" numFmtId="0" xfId="0" applyAlignment="1" applyBorder="1" applyFill="1" applyFont="1">
      <alignment horizontal="center"/>
    </xf>
    <xf borderId="10" fillId="20" fontId="12" numFmtId="0" xfId="0" applyBorder="1" applyFill="1" applyFont="1"/>
    <xf borderId="13" fillId="20" fontId="12" numFmtId="0" xfId="0" applyBorder="1" applyFill="1" applyFont="1"/>
    <xf borderId="17" fillId="20" fontId="12" numFmtId="0" xfId="0" applyBorder="1" applyFill="1" applyFont="1"/>
    <xf borderId="1" fillId="21" fontId="27" numFmtId="0" xfId="0" applyAlignment="1" applyBorder="1" applyFill="1" applyFont="1">
      <alignment horizontal="center"/>
    </xf>
    <xf borderId="13" fillId="22" fontId="28" numFmtId="0" xfId="0" applyAlignment="1" applyBorder="1" applyFill="1" applyFont="1">
      <alignment readingOrder="0"/>
    </xf>
    <xf borderId="13" fillId="22" fontId="29" numFmtId="0" xfId="0" applyAlignment="1" applyBorder="1" applyFill="1" applyFont="1">
      <alignment readingOrder="0"/>
    </xf>
    <xf borderId="0" fillId="15" fontId="30" numFmtId="0" xfId="0" applyAlignment="1" applyFill="1" applyFont="1">
      <alignment horizontal="center" vertical="bottom"/>
    </xf>
    <xf borderId="0" fillId="19" fontId="31" numFmtId="0" xfId="0" applyAlignment="1" applyFill="1" applyFont="1">
      <alignment horizontal="center" vertical="bottom"/>
    </xf>
    <xf borderId="0" fillId="23" fontId="14" numFmtId="0" xfId="0" applyAlignment="1" applyFill="1" applyFont="1">
      <alignment readingOrder="0"/>
    </xf>
    <xf borderId="15" fillId="14" fontId="32" numFmtId="0" xfId="0" applyAlignment="1" applyBorder="1" applyFill="1" applyFont="1">
      <alignment horizontal="center"/>
    </xf>
    <xf borderId="1" fillId="19" fontId="17" numFmtId="0" xfId="0" applyAlignment="1" applyBorder="1" applyFill="1" applyFont="1">
      <alignment horizontal="center"/>
    </xf>
    <xf borderId="10" fillId="20" fontId="29" numFmtId="0" xfId="0" applyAlignment="1" applyBorder="1" applyFill="1" applyFont="1">
      <alignment readingOrder="0"/>
    </xf>
    <xf borderId="13" fillId="20" fontId="29" numFmtId="0" xfId="0" applyAlignment="1" applyBorder="1" applyFill="1" applyFont="1">
      <alignment readingOrder="0"/>
    </xf>
    <xf borderId="1" fillId="21" fontId="17" numFmtId="0" xfId="0" applyAlignment="1" applyBorder="1" applyFill="1" applyFont="1">
      <alignment horizontal="center"/>
    </xf>
    <xf borderId="13" fillId="22" fontId="12" numFmtId="0" xfId="0" applyBorder="1" applyFill="1" applyFont="1"/>
    <xf borderId="0" fillId="15" fontId="33" numFmtId="0" xfId="0" applyAlignment="1" applyFill="1" applyFont="1">
      <alignment horizontal="center" readingOrder="0"/>
    </xf>
    <xf borderId="0" fillId="19" fontId="34" numFmtId="0" xfId="0" applyAlignment="1" applyFill="1" applyFont="1">
      <alignment horizontal="center" readingOrder="0"/>
    </xf>
    <xf borderId="17" fillId="22" fontId="12" numFmtId="0" xfId="0" applyBorder="1" applyFill="1" applyFont="1"/>
    <xf borderId="10" fillId="21" fontId="27" numFmtId="0" xfId="0" applyAlignment="1" applyBorder="1" applyFill="1" applyFont="1">
      <alignment horizontal="center"/>
    </xf>
    <xf borderId="10" fillId="22" fontId="29" numFmtId="0" xfId="0" applyAlignment="1" applyBorder="1" applyFill="1" applyFont="1">
      <alignment readingOrder="0"/>
    </xf>
    <xf quotePrefix="1" borderId="13" fillId="22" fontId="12" numFmtId="0" xfId="0" applyBorder="1" applyFill="1" applyFont="1"/>
    <xf quotePrefix="1" borderId="17" fillId="22" fontId="12" numFmtId="0" xfId="0" applyBorder="1" applyFill="1" applyFont="1"/>
    <xf borderId="13" fillId="22" fontId="29" numFmtId="0" xfId="0" applyAlignment="1" applyBorder="1" applyFill="1" applyFont="1">
      <alignment horizontal="left" readingOrder="0"/>
    </xf>
    <xf quotePrefix="1" borderId="13" fillId="22" fontId="12" numFmtId="0" xfId="0" applyAlignment="1" applyBorder="1" applyFill="1" applyFont="1">
      <alignment horizontal="left"/>
    </xf>
    <xf quotePrefix="1" borderId="17" fillId="22" fontId="12" numFmtId="0" xfId="0" applyAlignment="1" applyBorder="1" applyFill="1" applyFont="1">
      <alignment horizontal="left"/>
    </xf>
    <xf borderId="13" fillId="20" fontId="12" numFmtId="0" xfId="0" applyAlignment="1" applyBorder="1" applyFill="1" applyFont="1">
      <alignment shrinkToFit="0" wrapText="1"/>
    </xf>
    <xf borderId="13" fillId="22" fontId="35" numFmtId="0" xfId="0" applyAlignment="1" applyBorder="1" applyFill="1" applyFont="1">
      <alignment readingOrder="0"/>
    </xf>
    <xf borderId="0" fillId="6" fontId="9" numFmtId="0" xfId="0" applyAlignment="1" applyFill="1" applyFont="1">
      <alignment readingOrder="0"/>
    </xf>
    <xf borderId="0" fillId="6" fontId="9" numFmtId="0" xfId="0" applyAlignment="1" applyFill="1" applyFont="1">
      <alignment readingOrder="0"/>
    </xf>
    <xf borderId="0" fillId="6" fontId="10" numFmtId="0" xfId="0" applyAlignment="1" applyFill="1" applyFont="1">
      <alignment readingOrder="0"/>
    </xf>
    <xf borderId="0" fillId="6" fontId="7" numFmtId="0" xfId="0" applyAlignment="1" applyFill="1" applyFont="1">
      <alignment readingOrder="0" vertical="center"/>
    </xf>
    <xf borderId="0" fillId="6" fontId="11" numFmtId="0" xfId="0" applyFill="1" applyFont="1"/>
    <xf borderId="7" fillId="0" fontId="10" numFmtId="0" xfId="0" applyAlignment="1" applyBorder="1" applyFont="1">
      <alignment horizontal="center" readingOrder="0"/>
    </xf>
    <xf borderId="1" fillId="0" fontId="9" numFmtId="164" xfId="0" applyAlignment="1" applyBorder="1" applyFont="1" applyNumberFormat="1">
      <alignment readingOrder="0"/>
    </xf>
    <xf borderId="1" fillId="0" fontId="11" numFmtId="0" xfId="0" applyBorder="1" applyFont="1"/>
    <xf borderId="0" fillId="19" fontId="36" numFmtId="0" xfId="0" applyAlignment="1" applyFill="1" applyFont="1">
      <alignment horizontal="center" readingOrder="0"/>
    </xf>
    <xf borderId="2" fillId="0" fontId="13" numFmtId="0" xfId="0" applyAlignment="1" applyBorder="1" applyFont="1">
      <alignment readingOrder="0"/>
    </xf>
    <xf borderId="3" fillId="0" fontId="7" numFmtId="0" xfId="0" applyAlignment="1" applyBorder="1" applyFont="1">
      <alignment readingOrder="0" vertical="center"/>
    </xf>
    <xf borderId="3" fillId="0" fontId="7" numFmtId="164" xfId="0" applyAlignment="1" applyBorder="1" applyFont="1" applyNumberFormat="1">
      <alignment readingOrder="0" vertical="center"/>
    </xf>
    <xf borderId="3" fillId="0" fontId="7" numFmtId="0" xfId="0" applyAlignment="1" applyBorder="1" applyFont="1">
      <alignment readingOrder="0" shrinkToFit="0" vertical="center" wrapText="1"/>
    </xf>
    <xf borderId="3" fillId="0" fontId="12" numFmtId="0" xfId="0" applyAlignment="1" applyBorder="1" applyFont="1">
      <alignment vertical="center"/>
    </xf>
    <xf borderId="1" fillId="0" fontId="7" numFmtId="0" xfId="0" applyAlignment="1" applyBorder="1" applyFont="1">
      <alignment readingOrder="0" vertical="center"/>
    </xf>
    <xf borderId="1" fillId="0" fontId="7" numFmtId="164" xfId="0" applyAlignment="1" applyBorder="1" applyFont="1" applyNumberFormat="1">
      <alignment readingOrder="0" vertical="center"/>
    </xf>
    <xf borderId="1" fillId="0" fontId="7" numFmtId="0" xfId="0" applyAlignment="1" applyBorder="1" applyFont="1">
      <alignment readingOrder="0" shrinkToFit="0" vertical="center" wrapText="1"/>
    </xf>
    <xf borderId="1" fillId="0" fontId="12" numFmtId="0" xfId="0" applyAlignment="1" applyBorder="1" applyFont="1">
      <alignment vertical="center"/>
    </xf>
    <xf borderId="0" fillId="7" fontId="37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>
        <b/>
        <color rgb="FFFFFFFF"/>
      </font>
      <fill>
        <patternFill patternType="solid">
          <fgColor rgb="FF5B0F00"/>
          <bgColor rgb="FF5B0F00"/>
        </patternFill>
      </fill>
      <border/>
    </dxf>
    <dxf>
      <font>
        <b/>
        <color rgb="FFFFFFFF"/>
      </font>
      <fill>
        <patternFill patternType="solid">
          <fgColor rgb="FF274E13"/>
          <bgColor rgb="FF274E13"/>
        </patternFill>
      </fill>
      <border/>
    </dxf>
    <dxf>
      <font>
        <b/>
        <color rgb="FFFFFFFF"/>
      </font>
      <fill>
        <patternFill patternType="solid">
          <fgColor theme="7"/>
          <bgColor theme="7"/>
        </patternFill>
      </fill>
      <border/>
    </dxf>
    <dxf>
      <font>
        <b/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FAF6F6"/>
          <bgColor rgb="FFFAF6F6"/>
        </patternFill>
      </fill>
      <border/>
    </dxf>
    <dxf>
      <font/>
      <fill>
        <patternFill patternType="solid">
          <fgColor rgb="FFFFFDBF"/>
          <bgColor rgb="FFFFFDBF"/>
        </patternFill>
      </fill>
      <border/>
    </dxf>
    <dxf>
      <font/>
      <fill>
        <patternFill patternType="solid">
          <fgColor rgb="FF0C343D"/>
          <bgColor rgb="FF0C343D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</dxfs>
  <tableStyles count="5">
    <tableStyle count="3" pivot="0" name="Menu-style">
      <tableStyleElement dxfId="1" type="headerRow"/>
      <tableStyleElement dxfId="2" type="firstRowStripe"/>
      <tableStyleElement dxfId="3" type="secondRowStripe"/>
    </tableStyle>
    <tableStyle count="3" pivot="0" name="Tabela_Requisitos_Negocio-style">
      <tableStyleElement dxfId="8" type="headerRow"/>
      <tableStyleElement dxfId="2" type="firstRowStripe"/>
      <tableStyleElement dxfId="9" type="secondRowStripe"/>
    </tableStyle>
    <tableStyle count="2" pivot="0" name="BigNumbers-style">
      <tableStyleElement dxfId="10" type="firstRowStripe"/>
      <tableStyleElement dxfId="11" type="secondRowStripe"/>
    </tableStyle>
    <tableStyle count="3" pivot="0" name="Historico_Reuniões-style">
      <tableStyleElement dxfId="1" type="headerRow"/>
      <tableStyleElement dxfId="2" type="firstRowStripe"/>
      <tableStyleElement dxfId="3" type="secondRowStripe"/>
    </tableStyle>
    <tableStyle count="3" pivot="0" name="GestaoDeRisco-style">
      <tableStyleElement dxfId="12" type="headerRow"/>
      <tableStyleElement dxfId="2" type="firstRowStripe"/>
      <tableStyleElement dxfId="1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Chart12.png"/><Relationship Id="rId10" Type="http://schemas.openxmlformats.org/officeDocument/2006/relationships/image" Target="../media/Chart11.png"/><Relationship Id="rId13" Type="http://schemas.openxmlformats.org/officeDocument/2006/relationships/image" Target="../media/Chart14.png"/><Relationship Id="rId12" Type="http://schemas.openxmlformats.org/officeDocument/2006/relationships/image" Target="../media/Chart13.png"/><Relationship Id="rId1" Type="http://schemas.openxmlformats.org/officeDocument/2006/relationships/image" Target="../media/Chart2.png"/><Relationship Id="rId2" Type="http://schemas.openxmlformats.org/officeDocument/2006/relationships/image" Target="../media/Chart3.png"/><Relationship Id="rId3" Type="http://schemas.openxmlformats.org/officeDocument/2006/relationships/image" Target="../media/Chart4.png"/><Relationship Id="rId4" Type="http://schemas.openxmlformats.org/officeDocument/2006/relationships/image" Target="../media/Chart5.png"/><Relationship Id="rId9" Type="http://schemas.openxmlformats.org/officeDocument/2006/relationships/image" Target="../media/Chart10.png"/><Relationship Id="rId15" Type="http://schemas.openxmlformats.org/officeDocument/2006/relationships/image" Target="../media/Chart16.png"/><Relationship Id="rId14" Type="http://schemas.openxmlformats.org/officeDocument/2006/relationships/image" Target="../media/Chart15.png"/><Relationship Id="rId5" Type="http://schemas.openxmlformats.org/officeDocument/2006/relationships/image" Target="../media/Chart6.png"/><Relationship Id="rId6" Type="http://schemas.openxmlformats.org/officeDocument/2006/relationships/image" Target="../media/Chart7.png"/><Relationship Id="rId7" Type="http://schemas.openxmlformats.org/officeDocument/2006/relationships/image" Target="../media/Chart8.png"/><Relationship Id="rId8" Type="http://schemas.openxmlformats.org/officeDocument/2006/relationships/image" Target="../media/Chart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0</xdr:rowOff>
    </xdr:from>
    <xdr:ext cx="5715000" cy="3581400"/>
    <xdr:pic>
      <xdr:nvPicPr>
        <xdr:cNvPr id="1702131105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23</xdr:row>
      <xdr:rowOff>76200</xdr:rowOff>
    </xdr:from>
    <xdr:ext cx="5781675" cy="3724275"/>
    <xdr:pic>
      <xdr:nvPicPr>
        <xdr:cNvPr id="1191488184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180975</xdr:rowOff>
    </xdr:from>
    <xdr:ext cx="11544300" cy="3409950"/>
    <xdr:pic>
      <xdr:nvPicPr>
        <xdr:cNvPr id="725926320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47625</xdr:rowOff>
    </xdr:from>
    <xdr:ext cx="5781675" cy="3267075"/>
    <xdr:pic>
      <xdr:nvPicPr>
        <xdr:cNvPr id="1750085888" name="Chart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6</xdr:row>
      <xdr:rowOff>47625</xdr:rowOff>
    </xdr:from>
    <xdr:ext cx="5753100" cy="3267075"/>
    <xdr:pic>
      <xdr:nvPicPr>
        <xdr:cNvPr id="1966481320" name="Chart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800100</xdr:colOff>
      <xdr:row>1</xdr:row>
      <xdr:rowOff>9525</xdr:rowOff>
    </xdr:from>
    <xdr:ext cx="1000125" cy="990600"/>
    <xdr:pic>
      <xdr:nvPicPr>
        <xdr:cNvPr id="17206472" name="Chart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838200</xdr:colOff>
      <xdr:row>1</xdr:row>
      <xdr:rowOff>9525</xdr:rowOff>
    </xdr:from>
    <xdr:ext cx="1000125" cy="990600"/>
    <xdr:pic>
      <xdr:nvPicPr>
        <xdr:cNvPr id="35347538" name="Chart7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876300</xdr:colOff>
      <xdr:row>1</xdr:row>
      <xdr:rowOff>9525</xdr:rowOff>
    </xdr:from>
    <xdr:ext cx="1000125" cy="990600"/>
    <xdr:pic>
      <xdr:nvPicPr>
        <xdr:cNvPr id="606587770" name="Chart8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914400</xdr:colOff>
      <xdr:row>1</xdr:row>
      <xdr:rowOff>9525</xdr:rowOff>
    </xdr:from>
    <xdr:ext cx="1000125" cy="990600"/>
    <xdr:pic>
      <xdr:nvPicPr>
        <xdr:cNvPr id="1510219980" name="Chart9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23</xdr:row>
      <xdr:rowOff>76200</xdr:rowOff>
    </xdr:from>
    <xdr:ext cx="5743575" cy="3695700"/>
    <xdr:pic>
      <xdr:nvPicPr>
        <xdr:cNvPr id="550759596" name="Chart10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333375</xdr:colOff>
      <xdr:row>1</xdr:row>
      <xdr:rowOff>9525</xdr:rowOff>
    </xdr:from>
    <xdr:ext cx="1190625" cy="990600"/>
    <xdr:pic>
      <xdr:nvPicPr>
        <xdr:cNvPr id="658770586" name="Chart1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9525</xdr:rowOff>
    </xdr:from>
    <xdr:ext cx="1104900" cy="990600"/>
    <xdr:pic>
      <xdr:nvPicPr>
        <xdr:cNvPr id="2140386953" name="Chart1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561975</xdr:colOff>
      <xdr:row>1</xdr:row>
      <xdr:rowOff>9525</xdr:rowOff>
    </xdr:from>
    <xdr:ext cx="1190625" cy="990600"/>
    <xdr:pic>
      <xdr:nvPicPr>
        <xdr:cNvPr id="1467711640" name="Chart1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1</xdr:row>
      <xdr:rowOff>9525</xdr:rowOff>
    </xdr:from>
    <xdr:ext cx="1143000" cy="990600"/>
    <xdr:pic>
      <xdr:nvPicPr>
        <xdr:cNvPr id="1241693526" name="Chart14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628650</xdr:colOff>
      <xdr:row>1</xdr:row>
      <xdr:rowOff>9525</xdr:rowOff>
    </xdr:from>
    <xdr:ext cx="1143000" cy="990600"/>
    <xdr:pic>
      <xdr:nvPicPr>
        <xdr:cNvPr id="1858978017" name="Chart15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752475</xdr:colOff>
      <xdr:row>1</xdr:row>
      <xdr:rowOff>9525</xdr:rowOff>
    </xdr:from>
    <xdr:ext cx="1419225" cy="990600"/>
    <xdr:pic>
      <xdr:nvPicPr>
        <xdr:cNvPr id="90545412" name="Chart16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85725</xdr:rowOff>
    </xdr:from>
    <xdr:ext cx="7896225" cy="62007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</xdr:colOff>
      <xdr:row>0</xdr:row>
      <xdr:rowOff>76200</xdr:rowOff>
    </xdr:from>
    <xdr:ext cx="5038725" cy="3390900"/>
    <xdr:pic>
      <xdr:nvPicPr>
        <xdr:cNvPr id="0" name="image2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0</xdr:row>
      <xdr:rowOff>0</xdr:rowOff>
    </xdr:from>
    <xdr:ext cx="4991100" cy="3467100"/>
    <xdr:pic>
      <xdr:nvPicPr>
        <xdr:cNvPr id="0" name="image5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0</xdr:row>
      <xdr:rowOff>0</xdr:rowOff>
    </xdr:from>
    <xdr:ext cx="5010150" cy="3400425"/>
    <xdr:pic>
      <xdr:nvPicPr>
        <xdr:cNvPr id="0" name="image1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0</xdr:row>
      <xdr:rowOff>0</xdr:rowOff>
    </xdr:from>
    <xdr:ext cx="4629150" cy="3400425"/>
    <xdr:pic>
      <xdr:nvPicPr>
        <xdr:cNvPr id="0" name="image8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285750</xdr:colOff>
      <xdr:row>0</xdr:row>
      <xdr:rowOff>0</xdr:rowOff>
    </xdr:from>
    <xdr:ext cx="4610100" cy="3362325"/>
    <xdr:pic>
      <xdr:nvPicPr>
        <xdr:cNvPr id="0" name="image3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0</xdr:row>
      <xdr:rowOff>0</xdr:rowOff>
    </xdr:from>
    <xdr:ext cx="4638675" cy="3390900"/>
    <xdr:pic>
      <xdr:nvPicPr>
        <xdr:cNvPr id="0" name="image9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0</xdr:row>
      <xdr:rowOff>0</xdr:rowOff>
    </xdr:from>
    <xdr:ext cx="4610100" cy="3390900"/>
    <xdr:pic>
      <xdr:nvPicPr>
        <xdr:cNvPr id="0" name="image4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0</xdr:row>
      <xdr:rowOff>0</xdr:rowOff>
    </xdr:from>
    <xdr:ext cx="4629150" cy="3381375"/>
    <xdr:pic>
      <xdr:nvPicPr>
        <xdr:cNvPr id="0" name="image10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8191500</xdr:colOff>
      <xdr:row>0</xdr:row>
      <xdr:rowOff>0</xdr:rowOff>
    </xdr:from>
    <xdr:ext cx="4638675" cy="3390900"/>
    <xdr:pic>
      <xdr:nvPicPr>
        <xdr:cNvPr id="0" name="image6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439650" cy="9324975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</xdr:row>
      <xdr:rowOff>-76200</xdr:rowOff>
    </xdr:from>
    <xdr:ext cx="7305675" cy="4486275"/>
    <xdr:pic>
      <xdr:nvPicPr>
        <xdr:cNvPr id="0" name="image1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D14" displayName="Table_1" name="Table_1" id="1">
  <tableColumns count="4">
    <tableColumn name="Seq" id="1"/>
    <tableColumn name="Componente" id="2"/>
    <tableColumn name="Descrição" id="3"/>
    <tableColumn name="Palavras-Chave" id="4"/>
  </tableColumns>
  <tableStyleInfo name="Menu-style" showColumnStripes="0" showFirstColumn="1" showLastColumn="1" showRowStripes="1"/>
</table>
</file>

<file path=xl/tables/table2.xml><?xml version="1.0" encoding="utf-8"?>
<table xmlns="http://schemas.openxmlformats.org/spreadsheetml/2006/main" ref="A2:I18" displayName="Table_5" name="Table_5" id="5">
  <tableColumns count="9">
    <tableColumn name="Id" id="1"/>
    <tableColumn name="Data" id="2"/>
    <tableColumn name="Autor" id="3"/>
    <tableColumn name="Risco" id="4"/>
    <tableColumn name="Mitigação" id="5"/>
    <tableColumn name="Tipo" id="6"/>
    <tableColumn name="Probabilidade" id="7"/>
    <tableColumn name="Impacto" id="8"/>
    <tableColumn name="Severidade" id="9"/>
  </tableColumns>
  <tableStyleInfo name="GestaoDeRisco-style" showColumnStripes="0" showFirstColumn="1" showLastColumn="1" showRowStripes="1"/>
</table>
</file>

<file path=xl/tables/table3.xml><?xml version="1.0" encoding="utf-8"?>
<table xmlns="http://schemas.openxmlformats.org/spreadsheetml/2006/main" ref="A2:B7" displayName="Table_2" name="Table_2" id="2">
  <tableColumns count="2">
    <tableColumn name="ID" id="1"/>
    <tableColumn name="Requisito" id="2"/>
  </tableColumns>
  <tableStyleInfo name="Tabela_Requisitos_Negocio-style" showColumnStripes="0" showFirstColumn="1" showLastColumn="1" showRowStripes="1"/>
</table>
</file>

<file path=xl/tables/table4.xml><?xml version="1.0" encoding="utf-8"?>
<table xmlns="http://schemas.openxmlformats.org/spreadsheetml/2006/main" headerRowCount="0" ref="A3:C23" displayName="Table_3" name="Table_3" id="3">
  <tableColumns count="3">
    <tableColumn name="Column1" id="1"/>
    <tableColumn name="Column2" id="2"/>
    <tableColumn name="Column3" id="3"/>
  </tableColumns>
  <tableStyleInfo name="BigNumbers-style" showColumnStripes="0" showFirstColumn="1" showLastColumn="1" showRowStripes="1"/>
</table>
</file>

<file path=xl/tables/table5.xml><?xml version="1.0" encoding="utf-8"?>
<table xmlns="http://schemas.openxmlformats.org/spreadsheetml/2006/main" ref="A2:D28" displayName="Table_4" name="Table_4" id="4">
  <tableColumns count="4">
    <tableColumn name="Id" id="1"/>
    <tableColumn name="Data" id="2"/>
    <tableColumn name="Descrição" id="3"/>
    <tableColumn name="Quem" id="4"/>
  </tableColumns>
  <tableStyleInfo name="Historico_Reuniõ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28.29"/>
    <col customWidth="1" min="3" max="3" width="66.29"/>
    <col customWidth="1" min="4" max="4" width="76.86"/>
  </cols>
  <sheetData>
    <row r="1">
      <c r="A1" s="2" t="s">
        <v>2</v>
      </c>
    </row>
    <row r="2">
      <c r="A2" s="3" t="s">
        <v>3</v>
      </c>
    </row>
    <row r="4" ht="19.5" customHeight="1"/>
    <row r="5">
      <c r="A5" s="4" t="s">
        <v>4</v>
      </c>
      <c r="B5" s="4" t="s">
        <v>5</v>
      </c>
      <c r="C5" s="4" t="s">
        <v>6</v>
      </c>
      <c r="D5" s="4" t="s">
        <v>7</v>
      </c>
    </row>
    <row r="6" ht="27.75" customHeight="1">
      <c r="A6" s="6">
        <v>1.0</v>
      </c>
      <c r="B6" s="8" t="s">
        <v>16</v>
      </c>
      <c r="C6" s="9" t="s">
        <v>17</v>
      </c>
      <c r="D6" s="9" t="s">
        <v>18</v>
      </c>
    </row>
    <row r="7" ht="27.75" customHeight="1">
      <c r="A7" s="6">
        <v>2.0</v>
      </c>
      <c r="B7" s="8" t="s">
        <v>19</v>
      </c>
      <c r="C7" s="9" t="s">
        <v>20</v>
      </c>
      <c r="D7" s="9" t="s">
        <v>21</v>
      </c>
    </row>
    <row r="8" ht="27.75" customHeight="1">
      <c r="A8" s="6">
        <v>3.0</v>
      </c>
      <c r="B8" s="8" t="s">
        <v>23</v>
      </c>
      <c r="C8" s="9" t="s">
        <v>24</v>
      </c>
      <c r="D8" s="9" t="s">
        <v>25</v>
      </c>
    </row>
    <row r="9" ht="27.75" customHeight="1">
      <c r="A9" s="6">
        <v>4.0</v>
      </c>
      <c r="B9" s="8" t="s">
        <v>26</v>
      </c>
      <c r="C9" s="9" t="s">
        <v>27</v>
      </c>
      <c r="D9" s="9" t="s">
        <v>28</v>
      </c>
    </row>
    <row r="10" ht="27.75" customHeight="1">
      <c r="A10" s="6">
        <v>5.0</v>
      </c>
      <c r="B10" s="8" t="s">
        <v>29</v>
      </c>
      <c r="C10" s="9" t="s">
        <v>30</v>
      </c>
      <c r="D10" s="9" t="s">
        <v>31</v>
      </c>
    </row>
    <row r="11" ht="27.75" customHeight="1">
      <c r="A11" s="6">
        <v>6.0</v>
      </c>
      <c r="B11" s="8" t="s">
        <v>32</v>
      </c>
      <c r="C11" s="9" t="s">
        <v>33</v>
      </c>
      <c r="D11" s="9" t="s">
        <v>34</v>
      </c>
    </row>
    <row r="12" ht="27.75" customHeight="1">
      <c r="A12" s="6">
        <v>7.0</v>
      </c>
      <c r="B12" s="8" t="s">
        <v>36</v>
      </c>
      <c r="C12" s="9" t="s">
        <v>37</v>
      </c>
      <c r="D12" s="9" t="s">
        <v>38</v>
      </c>
    </row>
    <row r="13" ht="27.75" customHeight="1">
      <c r="A13" s="6">
        <v>8.0</v>
      </c>
      <c r="B13" s="8" t="s">
        <v>40</v>
      </c>
      <c r="C13" s="9" t="s">
        <v>42</v>
      </c>
      <c r="D13" s="9" t="s">
        <v>43</v>
      </c>
    </row>
    <row r="14" ht="27.75" customHeight="1">
      <c r="A14" s="6">
        <v>9.0</v>
      </c>
      <c r="B14" s="8" t="s">
        <v>44</v>
      </c>
      <c r="C14" s="9" t="s">
        <v>45</v>
      </c>
      <c r="D14" s="9" t="s">
        <v>46</v>
      </c>
    </row>
  </sheetData>
  <mergeCells count="2">
    <mergeCell ref="A1:D1"/>
    <mergeCell ref="A2:D4"/>
  </mergeCells>
  <hyperlinks>
    <hyperlink display="Segmentos de Clientes" location="'1-Segmentos de Clientes'!A1" ref="B6"/>
    <hyperlink display="Proposta de Valor" location="'2-Proposições de Valor'!A1" ref="B7"/>
    <hyperlink display="Canais" location="'3-Canais'!A1" ref="B8"/>
    <hyperlink display="Relacionamento com Clientes" location="'4-Relacionamento com Clientes'!A1" ref="B9"/>
    <hyperlink display="Fontes de Receita" location="'5-Fontes de Receita'!A1" ref="B10"/>
    <hyperlink display="Recursos Principais" location="'6-Recursos Chave'!A1" ref="B11"/>
    <hyperlink display="Atividades-Chave" location="'7-Atividades Chave'!A1" ref="B12"/>
    <hyperlink display="Parcerias Principais" location="'8-Parcerias Chave'!A1" ref="B13"/>
    <hyperlink display="Estrutura de Custos" location="'9-Estrutura de Custos'!A1" ref="B1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0"/>
    <col customWidth="1" min="3" max="3" width="11.57"/>
    <col customWidth="1" min="4" max="5" width="51.43"/>
    <col customWidth="1" min="6" max="6" width="12.86"/>
    <col customWidth="1" min="7" max="7" width="15.86"/>
    <col customWidth="1" min="8" max="8" width="10.71"/>
    <col customWidth="1" min="9" max="9" width="13.0"/>
  </cols>
  <sheetData>
    <row r="1">
      <c r="A1" s="124" t="s">
        <v>393</v>
      </c>
    </row>
    <row r="2">
      <c r="A2" s="125" t="s">
        <v>1</v>
      </c>
      <c r="B2" s="125" t="s">
        <v>384</v>
      </c>
      <c r="C2" s="125" t="s">
        <v>394</v>
      </c>
      <c r="D2" s="125" t="s">
        <v>395</v>
      </c>
      <c r="E2" s="125" t="s">
        <v>396</v>
      </c>
      <c r="F2" s="125" t="s">
        <v>397</v>
      </c>
      <c r="G2" s="125" t="s">
        <v>398</v>
      </c>
      <c r="H2" s="125" t="s">
        <v>399</v>
      </c>
      <c r="I2" s="125" t="s">
        <v>400</v>
      </c>
    </row>
    <row r="3">
      <c r="A3" s="126">
        <v>1.0</v>
      </c>
      <c r="B3" s="127">
        <v>43892.0</v>
      </c>
      <c r="C3" s="126" t="s">
        <v>390</v>
      </c>
      <c r="D3" s="128" t="s">
        <v>401</v>
      </c>
      <c r="E3" s="128" t="s">
        <v>402</v>
      </c>
      <c r="F3" s="128" t="s">
        <v>13</v>
      </c>
      <c r="G3" s="126" t="s">
        <v>403</v>
      </c>
      <c r="H3" s="126" t="s">
        <v>404</v>
      </c>
      <c r="I3" s="129">
        <f t="shared" ref="I3:I18" si="1">LEFT(G3,1)*LEFT(H3,1)</f>
        <v>6</v>
      </c>
    </row>
    <row r="4">
      <c r="A4" s="130">
        <v>2.0</v>
      </c>
      <c r="B4" s="131">
        <v>43892.0</v>
      </c>
      <c r="C4" s="130" t="s">
        <v>405</v>
      </c>
      <c r="D4" s="132" t="s">
        <v>406</v>
      </c>
      <c r="E4" s="132" t="s">
        <v>407</v>
      </c>
      <c r="F4" s="132" t="s">
        <v>408</v>
      </c>
      <c r="G4" s="130" t="s">
        <v>404</v>
      </c>
      <c r="H4" s="130" t="s">
        <v>403</v>
      </c>
      <c r="I4" s="133">
        <f t="shared" si="1"/>
        <v>6</v>
      </c>
    </row>
    <row r="5">
      <c r="A5" s="130">
        <v>3.0</v>
      </c>
      <c r="B5" s="131">
        <v>43892.0</v>
      </c>
      <c r="C5" s="130" t="s">
        <v>390</v>
      </c>
      <c r="D5" s="132" t="s">
        <v>409</v>
      </c>
      <c r="E5" s="132" t="s">
        <v>410</v>
      </c>
      <c r="F5" s="132" t="s">
        <v>408</v>
      </c>
      <c r="G5" s="130" t="s">
        <v>403</v>
      </c>
      <c r="H5" s="130" t="s">
        <v>403</v>
      </c>
      <c r="I5" s="133">
        <f t="shared" si="1"/>
        <v>9</v>
      </c>
    </row>
    <row r="6">
      <c r="A6" s="130">
        <v>4.0</v>
      </c>
      <c r="B6" s="131">
        <v>43893.0</v>
      </c>
      <c r="C6" s="130" t="s">
        <v>390</v>
      </c>
      <c r="D6" s="132" t="s">
        <v>411</v>
      </c>
      <c r="E6" s="132" t="s">
        <v>412</v>
      </c>
      <c r="F6" s="132" t="s">
        <v>413</v>
      </c>
      <c r="G6" s="130" t="s">
        <v>403</v>
      </c>
      <c r="H6" s="130" t="s">
        <v>404</v>
      </c>
      <c r="I6" s="133">
        <f t="shared" si="1"/>
        <v>6</v>
      </c>
    </row>
    <row r="7">
      <c r="A7" s="130">
        <v>5.0</v>
      </c>
      <c r="B7" s="131">
        <v>43893.0</v>
      </c>
      <c r="C7" s="130" t="s">
        <v>390</v>
      </c>
      <c r="D7" s="132" t="s">
        <v>414</v>
      </c>
      <c r="E7" s="132" t="s">
        <v>415</v>
      </c>
      <c r="F7" s="132" t="s">
        <v>408</v>
      </c>
      <c r="G7" s="130" t="s">
        <v>403</v>
      </c>
      <c r="H7" s="130" t="s">
        <v>416</v>
      </c>
      <c r="I7" s="133">
        <f t="shared" si="1"/>
        <v>3</v>
      </c>
    </row>
    <row r="8">
      <c r="A8" s="130">
        <v>6.0</v>
      </c>
      <c r="B8" s="131">
        <v>43922.0</v>
      </c>
      <c r="C8" s="130" t="s">
        <v>405</v>
      </c>
      <c r="D8" s="132" t="s">
        <v>417</v>
      </c>
      <c r="E8" s="132" t="s">
        <v>418</v>
      </c>
      <c r="F8" s="132" t="s">
        <v>413</v>
      </c>
      <c r="G8" s="130" t="s">
        <v>403</v>
      </c>
      <c r="H8" s="130" t="s">
        <v>403</v>
      </c>
      <c r="I8" s="133">
        <f t="shared" si="1"/>
        <v>9</v>
      </c>
    </row>
    <row r="9">
      <c r="A9" s="130">
        <v>7.0</v>
      </c>
      <c r="B9" s="131"/>
      <c r="C9" s="130"/>
      <c r="D9" s="132"/>
      <c r="E9" s="132"/>
      <c r="F9" s="132"/>
      <c r="G9" s="130"/>
      <c r="H9" s="130"/>
      <c r="I9" s="133">
        <f t="shared" si="1"/>
        <v>0</v>
      </c>
    </row>
    <row r="10">
      <c r="A10" s="130">
        <v>8.0</v>
      </c>
      <c r="B10" s="131"/>
      <c r="C10" s="130"/>
      <c r="D10" s="132"/>
      <c r="E10" s="132"/>
      <c r="F10" s="132"/>
      <c r="G10" s="130"/>
      <c r="H10" s="130"/>
      <c r="I10" s="133">
        <f t="shared" si="1"/>
        <v>0</v>
      </c>
    </row>
    <row r="11">
      <c r="A11" s="130">
        <v>9.0</v>
      </c>
      <c r="B11" s="131"/>
      <c r="C11" s="130"/>
      <c r="D11" s="132"/>
      <c r="E11" s="132"/>
      <c r="F11" s="132"/>
      <c r="G11" s="130"/>
      <c r="H11" s="130"/>
      <c r="I11" s="133">
        <f t="shared" si="1"/>
        <v>0</v>
      </c>
    </row>
    <row r="12">
      <c r="A12" s="130">
        <v>10.0</v>
      </c>
      <c r="B12" s="131"/>
      <c r="C12" s="130"/>
      <c r="D12" s="132"/>
      <c r="E12" s="132"/>
      <c r="F12" s="132"/>
      <c r="G12" s="130"/>
      <c r="H12" s="130"/>
      <c r="I12" s="133">
        <f t="shared" si="1"/>
        <v>0</v>
      </c>
    </row>
    <row r="13">
      <c r="A13" s="130">
        <v>11.0</v>
      </c>
      <c r="B13" s="131"/>
      <c r="C13" s="130"/>
      <c r="D13" s="132"/>
      <c r="E13" s="132"/>
      <c r="F13" s="132"/>
      <c r="G13" s="130"/>
      <c r="H13" s="130"/>
      <c r="I13" s="133">
        <f t="shared" si="1"/>
        <v>0</v>
      </c>
    </row>
    <row r="14">
      <c r="A14" s="130">
        <v>12.0</v>
      </c>
      <c r="B14" s="131"/>
      <c r="C14" s="130"/>
      <c r="D14" s="132"/>
      <c r="E14" s="132"/>
      <c r="F14" s="132"/>
      <c r="G14" s="130"/>
      <c r="H14" s="130"/>
      <c r="I14" s="133">
        <f t="shared" si="1"/>
        <v>0</v>
      </c>
    </row>
    <row r="15">
      <c r="A15" s="130">
        <v>13.0</v>
      </c>
      <c r="B15" s="131"/>
      <c r="C15" s="130"/>
      <c r="D15" s="132"/>
      <c r="E15" s="132"/>
      <c r="F15" s="132"/>
      <c r="G15" s="130"/>
      <c r="H15" s="130"/>
      <c r="I15" s="133">
        <f t="shared" si="1"/>
        <v>0</v>
      </c>
    </row>
    <row r="16">
      <c r="A16" s="130">
        <v>14.0</v>
      </c>
      <c r="B16" s="131"/>
      <c r="C16" s="130"/>
      <c r="D16" s="132"/>
      <c r="E16" s="132"/>
      <c r="F16" s="132"/>
      <c r="G16" s="130"/>
      <c r="H16" s="130"/>
      <c r="I16" s="133">
        <f t="shared" si="1"/>
        <v>0</v>
      </c>
    </row>
    <row r="17">
      <c r="A17" s="130">
        <v>15.0</v>
      </c>
      <c r="B17" s="131"/>
      <c r="C17" s="130"/>
      <c r="D17" s="132"/>
      <c r="E17" s="132"/>
      <c r="F17" s="132"/>
      <c r="G17" s="130"/>
      <c r="H17" s="130"/>
      <c r="I17" s="133">
        <f t="shared" si="1"/>
        <v>0</v>
      </c>
    </row>
    <row r="18">
      <c r="A18" s="130">
        <v>16.0</v>
      </c>
      <c r="B18" s="131"/>
      <c r="C18" s="130"/>
      <c r="D18" s="132"/>
      <c r="E18" s="132"/>
      <c r="F18" s="132"/>
      <c r="G18" s="130"/>
      <c r="H18" s="130"/>
      <c r="I18" s="133">
        <f t="shared" si="1"/>
        <v>0</v>
      </c>
    </row>
    <row r="19">
      <c r="A19" s="31"/>
      <c r="B19" s="31"/>
      <c r="C19" s="31"/>
      <c r="D19" s="31"/>
      <c r="E19" s="31"/>
      <c r="F19" s="31"/>
      <c r="G19" s="31"/>
      <c r="H19" s="31"/>
      <c r="I19" s="31"/>
    </row>
  </sheetData>
  <mergeCells count="1">
    <mergeCell ref="A1:I1"/>
  </mergeCells>
  <dataValidations>
    <dataValidation type="list" allowBlank="1" showErrorMessage="1" sqref="F3:F18">
      <formula1>"Pessoa,Tecnologia,Processo,Negócio"</formula1>
    </dataValidation>
    <dataValidation type="list" allowBlank="1" sqref="G3:H18">
      <formula1>"1-Baixo,2-Medio,3-Alto"</formula1>
    </dataValidation>
    <dataValidation type="list" allowBlank="1" sqref="C3:C18">
      <formula1>"Tom,Jefferson,Hugo,Paulo"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2" max="12" width="15.14"/>
  </cols>
  <sheetData>
    <row r="1" ht="37.5" customHeight="1">
      <c r="A1" s="134" t="s">
        <v>419</v>
      </c>
    </row>
  </sheetData>
  <mergeCells count="1">
    <mergeCell ref="A1:L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124D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2.14"/>
    <col customWidth="1" min="3" max="3" width="47.29"/>
    <col customWidth="1" min="4" max="4" width="22.0"/>
    <col customWidth="1" min="5" max="5" width="47.71"/>
    <col customWidth="1" min="6" max="6" width="16.14"/>
    <col customWidth="1" min="7" max="7" width="14.57"/>
    <col customWidth="1" min="8" max="8" width="14.29"/>
    <col customWidth="1" min="9" max="9" width="16.86"/>
  </cols>
  <sheetData>
    <row r="1">
      <c r="A1" s="1" t="s">
        <v>0</v>
      </c>
    </row>
    <row r="2">
      <c r="A2" s="5" t="s">
        <v>1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>
      <c r="A3" s="7">
        <v>1.0</v>
      </c>
      <c r="B3" s="7" t="s">
        <v>22</v>
      </c>
      <c r="C3" s="10" t="s">
        <v>35</v>
      </c>
      <c r="D3" s="11" t="s">
        <v>39</v>
      </c>
      <c r="E3" s="10" t="s">
        <v>41</v>
      </c>
      <c r="F3" s="12">
        <f>IFERROR(VLOOKUP(D3,Produtos_Results!$A$2:$E$22,5),"")</f>
        <v>0.8571428571</v>
      </c>
      <c r="G3" s="10"/>
      <c r="H3" s="7" t="s">
        <v>47</v>
      </c>
      <c r="I3" s="7" t="s">
        <v>48</v>
      </c>
    </row>
    <row r="4">
      <c r="A4" s="13">
        <v>2.0</v>
      </c>
      <c r="B4" s="13" t="s">
        <v>22</v>
      </c>
      <c r="C4" s="14" t="s">
        <v>35</v>
      </c>
      <c r="D4" s="14" t="s">
        <v>49</v>
      </c>
      <c r="E4" s="15"/>
      <c r="F4" s="12">
        <f>IFERROR(VLOOKUP(D4,Produtos_Results!$A$2:$E$22,5),"")</f>
        <v>0</v>
      </c>
      <c r="G4" s="15"/>
      <c r="H4" s="13" t="s">
        <v>50</v>
      </c>
      <c r="I4" s="16" t="s">
        <v>48</v>
      </c>
    </row>
    <row r="5" hidden="1">
      <c r="A5" s="17">
        <v>3.0</v>
      </c>
      <c r="B5" s="7" t="s">
        <v>22</v>
      </c>
      <c r="C5" s="11" t="s">
        <v>35</v>
      </c>
      <c r="D5" s="11" t="s">
        <v>51</v>
      </c>
      <c r="E5" s="10"/>
      <c r="F5" s="12">
        <f>IFERROR(VLOOKUP(D5,Produtos_Results!$A$2:$E$22,5),"")</f>
        <v>0</v>
      </c>
      <c r="G5" s="10"/>
      <c r="H5" s="17" t="s">
        <v>52</v>
      </c>
      <c r="I5" s="17" t="s">
        <v>53</v>
      </c>
    </row>
    <row r="6" hidden="1">
      <c r="A6" s="13">
        <v>4.0</v>
      </c>
      <c r="B6" s="13" t="s">
        <v>22</v>
      </c>
      <c r="C6" s="14" t="s">
        <v>35</v>
      </c>
      <c r="D6" s="14" t="s">
        <v>54</v>
      </c>
      <c r="E6" s="15"/>
      <c r="F6" s="12">
        <f>IFERROR(VLOOKUP(D6,Produtos_Results!$A$2:$E$22,5),"")</f>
        <v>0.5</v>
      </c>
      <c r="G6" s="15"/>
      <c r="H6" s="13" t="s">
        <v>50</v>
      </c>
      <c r="I6" s="13" t="s">
        <v>55</v>
      </c>
    </row>
    <row r="7">
      <c r="A7" s="7">
        <v>5.0</v>
      </c>
      <c r="B7" s="7" t="s">
        <v>22</v>
      </c>
      <c r="C7" s="11" t="s">
        <v>35</v>
      </c>
      <c r="D7" s="11" t="s">
        <v>56</v>
      </c>
      <c r="E7" s="10"/>
      <c r="F7" s="12">
        <f>IFERROR(VLOOKUP(D7,Produtos_Results!$A$2:$E$22,5),"")</f>
        <v>0</v>
      </c>
      <c r="G7" s="10"/>
      <c r="H7" s="17" t="s">
        <v>52</v>
      </c>
      <c r="I7" s="7" t="s">
        <v>48</v>
      </c>
    </row>
    <row r="8">
      <c r="A8" s="13">
        <v>6.0</v>
      </c>
      <c r="B8" s="13" t="s">
        <v>22</v>
      </c>
      <c r="C8" s="14" t="s">
        <v>57</v>
      </c>
      <c r="D8" s="14" t="s">
        <v>49</v>
      </c>
      <c r="E8" s="15"/>
      <c r="F8" s="12">
        <f>IFERROR(VLOOKUP(D8,Produtos_Results!$A$2:$E$22,5),"")</f>
        <v>0</v>
      </c>
      <c r="G8" s="15"/>
      <c r="H8" s="13" t="s">
        <v>50</v>
      </c>
      <c r="I8" s="16" t="s">
        <v>48</v>
      </c>
    </row>
    <row r="9">
      <c r="A9" s="17">
        <v>7.0</v>
      </c>
      <c r="B9" s="7" t="s">
        <v>22</v>
      </c>
      <c r="C9" s="11" t="s">
        <v>57</v>
      </c>
      <c r="D9" s="11" t="s">
        <v>39</v>
      </c>
      <c r="E9" s="10" t="s">
        <v>58</v>
      </c>
      <c r="F9" s="12">
        <f>IFERROR(VLOOKUP(D9,Produtos_Results!$A$2:$E$22,5),"")</f>
        <v>0.8571428571</v>
      </c>
      <c r="G9" s="10"/>
      <c r="H9" s="17" t="s">
        <v>47</v>
      </c>
      <c r="I9" s="7" t="s">
        <v>48</v>
      </c>
    </row>
    <row r="10" hidden="1">
      <c r="A10" s="13">
        <v>8.0</v>
      </c>
      <c r="B10" s="13" t="s">
        <v>22</v>
      </c>
      <c r="C10" s="14" t="s">
        <v>57</v>
      </c>
      <c r="D10" s="14" t="s">
        <v>54</v>
      </c>
      <c r="E10" s="15"/>
      <c r="F10" s="12">
        <f>IFERROR(VLOOKUP(D10,Produtos_Results!$A$2:$E$22,5),"")</f>
        <v>0.5</v>
      </c>
      <c r="G10" s="15"/>
      <c r="H10" s="13" t="s">
        <v>50</v>
      </c>
      <c r="I10" s="13" t="s">
        <v>55</v>
      </c>
    </row>
    <row r="11" hidden="1">
      <c r="A11" s="7">
        <v>9.0</v>
      </c>
      <c r="B11" s="17" t="s">
        <v>22</v>
      </c>
      <c r="C11" s="11" t="s">
        <v>57</v>
      </c>
      <c r="D11" s="11" t="s">
        <v>51</v>
      </c>
      <c r="E11" s="10"/>
      <c r="F11" s="12">
        <f>IFERROR(VLOOKUP(D11,Produtos_Results!$A$2:$E$22,5),"")</f>
        <v>0</v>
      </c>
      <c r="G11" s="10"/>
      <c r="H11" s="17" t="s">
        <v>52</v>
      </c>
      <c r="I11" s="17" t="s">
        <v>53</v>
      </c>
    </row>
    <row r="12">
      <c r="A12" s="13">
        <v>10.0</v>
      </c>
      <c r="B12" s="13" t="s">
        <v>22</v>
      </c>
      <c r="C12" s="14" t="s">
        <v>57</v>
      </c>
      <c r="D12" s="14" t="s">
        <v>59</v>
      </c>
      <c r="E12" s="15"/>
      <c r="F12" s="12">
        <f>IFERROR(VLOOKUP(D12,Produtos_Results!$A$2:$E$22,5),"")</f>
        <v>0</v>
      </c>
      <c r="G12" s="15"/>
      <c r="H12" s="13" t="s">
        <v>52</v>
      </c>
      <c r="I12" s="16" t="s">
        <v>48</v>
      </c>
    </row>
    <row r="13" hidden="1">
      <c r="A13" s="17">
        <v>11.0</v>
      </c>
      <c r="B13" s="17" t="s">
        <v>22</v>
      </c>
      <c r="C13" s="11" t="s">
        <v>60</v>
      </c>
      <c r="D13" s="11" t="s">
        <v>39</v>
      </c>
      <c r="E13" s="10"/>
      <c r="F13" s="12">
        <f>IFERROR(VLOOKUP(D13,Produtos_Results!$A$2:$E$22,5),"")</f>
        <v>0.8571428571</v>
      </c>
      <c r="G13" s="10"/>
      <c r="H13" s="17" t="s">
        <v>47</v>
      </c>
      <c r="I13" s="17" t="s">
        <v>53</v>
      </c>
    </row>
    <row r="14">
      <c r="A14" s="13">
        <v>12.0</v>
      </c>
      <c r="B14" s="16" t="s">
        <v>22</v>
      </c>
      <c r="C14" s="14" t="s">
        <v>60</v>
      </c>
      <c r="D14" s="14" t="s">
        <v>49</v>
      </c>
      <c r="E14" s="15"/>
      <c r="F14" s="12">
        <f>IFERROR(VLOOKUP(D14,Produtos_Results!$A$2:$E$22,5),"")</f>
        <v>0</v>
      </c>
      <c r="G14" s="15"/>
      <c r="H14" s="13" t="s">
        <v>50</v>
      </c>
      <c r="I14" s="16" t="s">
        <v>48</v>
      </c>
    </row>
    <row r="15">
      <c r="A15" s="7">
        <v>13.0</v>
      </c>
      <c r="B15" s="17" t="s">
        <v>22</v>
      </c>
      <c r="C15" s="11" t="s">
        <v>60</v>
      </c>
      <c r="D15" s="11" t="s">
        <v>51</v>
      </c>
      <c r="E15" s="10"/>
      <c r="F15" s="12">
        <f>IFERROR(VLOOKUP(D15,Produtos_Results!$A$2:$E$22,5),"")</f>
        <v>0</v>
      </c>
      <c r="G15" s="10"/>
      <c r="H15" s="17" t="s">
        <v>52</v>
      </c>
      <c r="I15" s="7" t="s">
        <v>48</v>
      </c>
    </row>
    <row r="16" hidden="1">
      <c r="A16" s="13">
        <v>14.0</v>
      </c>
      <c r="B16" s="13" t="s">
        <v>22</v>
      </c>
      <c r="C16" s="14" t="s">
        <v>60</v>
      </c>
      <c r="D16" s="14" t="s">
        <v>54</v>
      </c>
      <c r="E16" s="15"/>
      <c r="F16" s="12">
        <f>IFERROR(VLOOKUP(D16,Produtos_Results!$A$2:$E$22,5),"")</f>
        <v>0.5</v>
      </c>
      <c r="G16" s="15"/>
      <c r="H16" s="13" t="s">
        <v>50</v>
      </c>
      <c r="I16" s="13" t="s">
        <v>53</v>
      </c>
    </row>
    <row r="17" hidden="1">
      <c r="A17" s="17">
        <v>15.0</v>
      </c>
      <c r="B17" s="7" t="s">
        <v>22</v>
      </c>
      <c r="C17" s="11" t="s">
        <v>60</v>
      </c>
      <c r="D17" s="11" t="s">
        <v>67</v>
      </c>
      <c r="E17" s="10"/>
      <c r="F17" s="12">
        <f>IFERROR(VLOOKUP(D17,Produtos_Results!$A$2:$E$22,5),"")</f>
        <v>0.8571428571</v>
      </c>
      <c r="G17" s="10"/>
      <c r="H17" s="17" t="s">
        <v>47</v>
      </c>
      <c r="I17" s="17" t="s">
        <v>53</v>
      </c>
    </row>
    <row r="18">
      <c r="A18" s="13">
        <v>16.0</v>
      </c>
      <c r="B18" s="13" t="s">
        <v>22</v>
      </c>
      <c r="C18" s="14" t="s">
        <v>60</v>
      </c>
      <c r="D18" s="14" t="s">
        <v>68</v>
      </c>
      <c r="E18" s="15"/>
      <c r="F18" s="12">
        <f>IFERROR(VLOOKUP(D18,Produtos_Results!$A$2:$E$22,5),"")</f>
        <v>0.25</v>
      </c>
      <c r="G18" s="15"/>
      <c r="H18" s="13" t="s">
        <v>50</v>
      </c>
      <c r="I18" s="16" t="s">
        <v>48</v>
      </c>
    </row>
    <row r="19" hidden="1">
      <c r="A19" s="7">
        <v>17.0</v>
      </c>
      <c r="B19" s="17" t="s">
        <v>22</v>
      </c>
      <c r="C19" s="11" t="s">
        <v>60</v>
      </c>
      <c r="D19" s="11" t="s">
        <v>59</v>
      </c>
      <c r="E19" s="10"/>
      <c r="F19" s="12">
        <f>IFERROR(VLOOKUP(D19,Produtos_Results!$A$2:$E$22,5),"")</f>
        <v>0</v>
      </c>
      <c r="G19" s="10"/>
      <c r="H19" s="17" t="s">
        <v>52</v>
      </c>
      <c r="I19" s="17" t="s">
        <v>55</v>
      </c>
    </row>
    <row r="20">
      <c r="A20" s="13">
        <v>18.0</v>
      </c>
      <c r="B20" s="13" t="s">
        <v>22</v>
      </c>
      <c r="C20" s="14" t="s">
        <v>71</v>
      </c>
      <c r="D20" s="14" t="s">
        <v>67</v>
      </c>
      <c r="E20" s="15"/>
      <c r="F20" s="12">
        <f>IFERROR(VLOOKUP(D20,Produtos_Results!$A$2:$E$22,5),"")</f>
        <v>0.8571428571</v>
      </c>
      <c r="G20" s="15"/>
      <c r="H20" s="13" t="s">
        <v>47</v>
      </c>
      <c r="I20" s="16" t="s">
        <v>48</v>
      </c>
    </row>
    <row r="21">
      <c r="A21" s="17">
        <v>19.0</v>
      </c>
      <c r="B21" s="17" t="s">
        <v>22</v>
      </c>
      <c r="C21" s="11" t="s">
        <v>71</v>
      </c>
      <c r="D21" s="11" t="s">
        <v>49</v>
      </c>
      <c r="E21" s="10"/>
      <c r="F21" s="12">
        <f>IFERROR(VLOOKUP(D21,Produtos_Results!$A$2:$E$22,5),"")</f>
        <v>0</v>
      </c>
      <c r="G21" s="10"/>
      <c r="H21" s="17" t="s">
        <v>50</v>
      </c>
      <c r="I21" s="7" t="s">
        <v>48</v>
      </c>
    </row>
    <row r="22">
      <c r="A22" s="13">
        <v>20.0</v>
      </c>
      <c r="B22" s="13" t="s">
        <v>22</v>
      </c>
      <c r="C22" s="14" t="s">
        <v>71</v>
      </c>
      <c r="D22" s="14" t="s">
        <v>39</v>
      </c>
      <c r="E22" s="15" t="s">
        <v>74</v>
      </c>
      <c r="F22" s="12">
        <f>IFERROR(VLOOKUP(D22,Produtos_Results!$A$2:$E$22,5),"")</f>
        <v>0.8571428571</v>
      </c>
      <c r="G22" s="15"/>
      <c r="H22" s="13" t="s">
        <v>47</v>
      </c>
      <c r="I22" s="16" t="s">
        <v>48</v>
      </c>
    </row>
    <row r="23">
      <c r="A23" s="7">
        <v>21.0</v>
      </c>
      <c r="B23" s="17" t="s">
        <v>22</v>
      </c>
      <c r="C23" s="11" t="s">
        <v>71</v>
      </c>
      <c r="D23" s="11" t="s">
        <v>51</v>
      </c>
      <c r="E23" s="10"/>
      <c r="F23" s="12">
        <f>IFERROR(VLOOKUP(D23,Produtos_Results!$A$2:$E$22,5),"")</f>
        <v>0</v>
      </c>
      <c r="G23" s="10"/>
      <c r="H23" s="17" t="s">
        <v>52</v>
      </c>
      <c r="I23" s="7" t="s">
        <v>48</v>
      </c>
    </row>
    <row r="24">
      <c r="A24" s="13">
        <v>22.0</v>
      </c>
      <c r="B24" s="13" t="s">
        <v>22</v>
      </c>
      <c r="C24" s="14" t="s">
        <v>71</v>
      </c>
      <c r="D24" s="14" t="s">
        <v>68</v>
      </c>
      <c r="E24" s="15"/>
      <c r="F24" s="12">
        <f>IFERROR(VLOOKUP(D24,Produtos_Results!$A$2:$E$22,5),"")</f>
        <v>0.25</v>
      </c>
      <c r="G24" s="15"/>
      <c r="H24" s="13" t="s">
        <v>50</v>
      </c>
      <c r="I24" s="16" t="s">
        <v>48</v>
      </c>
    </row>
    <row r="25">
      <c r="A25" s="17">
        <v>23.0</v>
      </c>
      <c r="B25" s="17" t="s">
        <v>22</v>
      </c>
      <c r="C25" s="11" t="s">
        <v>76</v>
      </c>
      <c r="D25" s="11" t="s">
        <v>59</v>
      </c>
      <c r="E25" s="10"/>
      <c r="F25" s="12">
        <f>IFERROR(VLOOKUP(D25,Produtos_Results!$A$2:$E$22,5),"")</f>
        <v>0</v>
      </c>
      <c r="G25" s="10"/>
      <c r="H25" s="17" t="s">
        <v>52</v>
      </c>
      <c r="I25" s="7" t="s">
        <v>48</v>
      </c>
    </row>
    <row r="26" hidden="1">
      <c r="A26" s="13">
        <v>24.0</v>
      </c>
      <c r="B26" s="13" t="s">
        <v>22</v>
      </c>
      <c r="C26" s="14" t="s">
        <v>76</v>
      </c>
      <c r="D26" s="14" t="s">
        <v>56</v>
      </c>
      <c r="E26" s="15"/>
      <c r="F26" s="12">
        <f>IFERROR(VLOOKUP(D26,Produtos_Results!$A$2:$E$22,5),"")</f>
        <v>0</v>
      </c>
      <c r="G26" s="15"/>
      <c r="H26" s="13" t="s">
        <v>52</v>
      </c>
      <c r="I26" s="13" t="s">
        <v>53</v>
      </c>
    </row>
    <row r="27" hidden="1">
      <c r="A27" s="7">
        <v>25.0</v>
      </c>
      <c r="B27" s="17" t="s">
        <v>22</v>
      </c>
      <c r="C27" s="11" t="s">
        <v>76</v>
      </c>
      <c r="D27" s="11" t="s">
        <v>78</v>
      </c>
      <c r="E27" s="10"/>
      <c r="F27" s="12">
        <f>IFERROR(VLOOKUP(D27,Produtos_Results!$A$2:$E$22,5),"")</f>
        <v>0</v>
      </c>
      <c r="G27" s="10"/>
      <c r="H27" s="17" t="s">
        <v>52</v>
      </c>
      <c r="I27" s="17" t="s">
        <v>53</v>
      </c>
    </row>
    <row r="28">
      <c r="A28" s="13">
        <v>26.0</v>
      </c>
      <c r="B28" s="13" t="s">
        <v>22</v>
      </c>
      <c r="C28" s="14" t="s">
        <v>76</v>
      </c>
      <c r="D28" s="14" t="s">
        <v>80</v>
      </c>
      <c r="E28" s="15"/>
      <c r="F28" s="12">
        <f>IFERROR(VLOOKUP(D28,Produtos_Results!$A$2:$E$22,5),"")</f>
        <v>0.5</v>
      </c>
      <c r="G28" s="15"/>
      <c r="H28" s="13" t="s">
        <v>50</v>
      </c>
      <c r="I28" s="16" t="s">
        <v>48</v>
      </c>
    </row>
    <row r="29">
      <c r="A29" s="17">
        <v>27.0</v>
      </c>
      <c r="B29" s="17" t="s">
        <v>22</v>
      </c>
      <c r="C29" s="11" t="s">
        <v>76</v>
      </c>
      <c r="D29" s="11" t="s">
        <v>51</v>
      </c>
      <c r="E29" s="10"/>
      <c r="F29" s="12">
        <f>IFERROR(VLOOKUP(D29,Produtos_Results!$A$2:$E$22,5),"")</f>
        <v>0</v>
      </c>
      <c r="G29" s="10"/>
      <c r="H29" s="17" t="s">
        <v>52</v>
      </c>
      <c r="I29" s="7" t="s">
        <v>48</v>
      </c>
    </row>
    <row r="30" hidden="1">
      <c r="A30" s="13">
        <v>28.0</v>
      </c>
      <c r="B30" s="13" t="s">
        <v>22</v>
      </c>
      <c r="C30" s="14" t="s">
        <v>76</v>
      </c>
      <c r="D30" s="14" t="s">
        <v>49</v>
      </c>
      <c r="E30" s="15"/>
      <c r="F30" s="12">
        <f>IFERROR(VLOOKUP(D30,Produtos_Results!$A$2:$E$22,5),"")</f>
        <v>0</v>
      </c>
      <c r="G30" s="15"/>
      <c r="H30" s="13" t="s">
        <v>50</v>
      </c>
      <c r="I30" s="13" t="s">
        <v>53</v>
      </c>
    </row>
    <row r="31" hidden="1">
      <c r="A31" s="7">
        <v>29.0</v>
      </c>
      <c r="B31" s="17" t="s">
        <v>22</v>
      </c>
      <c r="C31" s="11" t="s">
        <v>35</v>
      </c>
      <c r="D31" s="11" t="s">
        <v>83</v>
      </c>
      <c r="E31" s="10"/>
      <c r="F31" s="12">
        <f>IFERROR(VLOOKUP(D31,Produtos_Results!$A$2:$E$22,5),"")</f>
        <v>0.75</v>
      </c>
      <c r="G31" s="10"/>
      <c r="H31" s="17" t="s">
        <v>52</v>
      </c>
      <c r="I31" s="17" t="s">
        <v>85</v>
      </c>
    </row>
    <row r="32" hidden="1">
      <c r="A32" s="13">
        <v>30.0</v>
      </c>
      <c r="B32" s="16" t="s">
        <v>22</v>
      </c>
      <c r="C32" s="14" t="s">
        <v>35</v>
      </c>
      <c r="D32" s="14" t="s">
        <v>86</v>
      </c>
      <c r="E32" s="15"/>
      <c r="F32" s="12">
        <f>IFERROR(VLOOKUP(D32,Produtos_Results!$A$2:$E$22,5),"")</f>
        <v>0.6666666667</v>
      </c>
      <c r="G32" s="15"/>
      <c r="H32" s="13" t="s">
        <v>52</v>
      </c>
      <c r="I32" s="13" t="s">
        <v>85</v>
      </c>
    </row>
    <row r="33" hidden="1">
      <c r="A33" s="17">
        <v>31.0</v>
      </c>
      <c r="B33" s="7" t="s">
        <v>22</v>
      </c>
      <c r="C33" s="11" t="s">
        <v>35</v>
      </c>
      <c r="D33" s="11" t="s">
        <v>88</v>
      </c>
      <c r="E33" s="10"/>
      <c r="F33" s="12">
        <f>IFERROR(VLOOKUP(D33,Produtos_Results!$A$2:$E$22,5),"")</f>
        <v>0</v>
      </c>
      <c r="G33" s="10" t="s">
        <v>89</v>
      </c>
      <c r="H33" s="17" t="s">
        <v>52</v>
      </c>
      <c r="I33" s="17" t="s">
        <v>85</v>
      </c>
    </row>
    <row r="34" hidden="1">
      <c r="A34" s="13">
        <v>32.0</v>
      </c>
      <c r="B34" s="16" t="s">
        <v>22</v>
      </c>
      <c r="C34" s="14" t="s">
        <v>57</v>
      </c>
      <c r="D34" s="14" t="s">
        <v>83</v>
      </c>
      <c r="E34" s="15"/>
      <c r="F34" s="12">
        <f>IFERROR(VLOOKUP(D34,Produtos_Results!$A$2:$E$22,5),"")</f>
        <v>0.75</v>
      </c>
      <c r="G34" s="15"/>
      <c r="H34" s="13" t="s">
        <v>52</v>
      </c>
      <c r="I34" s="13" t="s">
        <v>85</v>
      </c>
    </row>
    <row r="35" hidden="1">
      <c r="A35" s="7">
        <v>33.0</v>
      </c>
      <c r="B35" s="7" t="s">
        <v>22</v>
      </c>
      <c r="C35" s="11" t="s">
        <v>57</v>
      </c>
      <c r="D35" s="11" t="s">
        <v>86</v>
      </c>
      <c r="E35" s="10"/>
      <c r="F35" s="12">
        <f>IFERROR(VLOOKUP(D35,Produtos_Results!$A$2:$E$22,5),"")</f>
        <v>0.6666666667</v>
      </c>
      <c r="G35" s="10"/>
      <c r="H35" s="17" t="s">
        <v>52</v>
      </c>
      <c r="I35" s="17" t="s">
        <v>85</v>
      </c>
    </row>
    <row r="36" hidden="1">
      <c r="A36" s="13">
        <v>34.0</v>
      </c>
      <c r="B36" s="16" t="s">
        <v>22</v>
      </c>
      <c r="C36" s="14" t="s">
        <v>57</v>
      </c>
      <c r="D36" s="14" t="s">
        <v>88</v>
      </c>
      <c r="E36" s="15"/>
      <c r="F36" s="12">
        <f>IFERROR(VLOOKUP(D36,Produtos_Results!$A$2:$E$22,5),"")</f>
        <v>0</v>
      </c>
      <c r="G36" s="15"/>
      <c r="H36" s="13" t="s">
        <v>52</v>
      </c>
      <c r="I36" s="13" t="s">
        <v>85</v>
      </c>
    </row>
    <row r="37" hidden="1">
      <c r="A37" s="17">
        <v>35.0</v>
      </c>
      <c r="B37" s="7" t="s">
        <v>22</v>
      </c>
      <c r="C37" s="11" t="s">
        <v>60</v>
      </c>
      <c r="D37" s="11" t="s">
        <v>83</v>
      </c>
      <c r="E37" s="10"/>
      <c r="F37" s="12">
        <f>IFERROR(VLOOKUP(D37,Produtos_Results!$A$2:$E$22,5),"")</f>
        <v>0.75</v>
      </c>
      <c r="G37" s="10"/>
      <c r="H37" s="17" t="s">
        <v>52</v>
      </c>
      <c r="I37" s="17" t="s">
        <v>85</v>
      </c>
    </row>
    <row r="38" hidden="1">
      <c r="A38" s="13">
        <v>36.0</v>
      </c>
      <c r="B38" s="16" t="s">
        <v>22</v>
      </c>
      <c r="C38" s="14" t="s">
        <v>60</v>
      </c>
      <c r="D38" s="14" t="s">
        <v>86</v>
      </c>
      <c r="E38" s="15"/>
      <c r="F38" s="12">
        <f>IFERROR(VLOOKUP(D38,Produtos_Results!$A$2:$E$22,5),"")</f>
        <v>0.6666666667</v>
      </c>
      <c r="G38" s="15"/>
      <c r="H38" s="13" t="s">
        <v>52</v>
      </c>
      <c r="I38" s="13" t="s">
        <v>85</v>
      </c>
    </row>
    <row r="39" hidden="1">
      <c r="A39" s="7">
        <v>37.0</v>
      </c>
      <c r="B39" s="7" t="s">
        <v>22</v>
      </c>
      <c r="C39" s="11" t="s">
        <v>60</v>
      </c>
      <c r="D39" s="11" t="s">
        <v>88</v>
      </c>
      <c r="E39" s="10"/>
      <c r="F39" s="12">
        <f>IFERROR(VLOOKUP(D39,Produtos_Results!$A$2:$E$22,5),"")</f>
        <v>0</v>
      </c>
      <c r="G39" s="10"/>
      <c r="H39" s="17" t="s">
        <v>52</v>
      </c>
      <c r="I39" s="17" t="s">
        <v>85</v>
      </c>
    </row>
    <row r="40" hidden="1">
      <c r="A40" s="13">
        <v>38.0</v>
      </c>
      <c r="B40" s="13" t="s">
        <v>22</v>
      </c>
      <c r="C40" s="14" t="s">
        <v>71</v>
      </c>
      <c r="D40" s="14" t="s">
        <v>83</v>
      </c>
      <c r="E40" s="15"/>
      <c r="F40" s="12">
        <f>IFERROR(VLOOKUP(D40,Produtos_Results!$A$2:$E$22,5),"")</f>
        <v>0.75</v>
      </c>
      <c r="G40" s="15"/>
      <c r="H40" s="13" t="s">
        <v>52</v>
      </c>
      <c r="I40" s="13" t="s">
        <v>85</v>
      </c>
    </row>
    <row r="41" hidden="1">
      <c r="A41" s="17">
        <v>39.0</v>
      </c>
      <c r="B41" s="17" t="s">
        <v>22</v>
      </c>
      <c r="C41" s="11" t="s">
        <v>71</v>
      </c>
      <c r="D41" s="11" t="s">
        <v>86</v>
      </c>
      <c r="E41" s="10"/>
      <c r="F41" s="12">
        <f>IFERROR(VLOOKUP(D41,Produtos_Results!$A$2:$E$22,5),"")</f>
        <v>0.6666666667</v>
      </c>
      <c r="G41" s="10"/>
      <c r="H41" s="17" t="s">
        <v>52</v>
      </c>
      <c r="I41" s="17" t="s">
        <v>85</v>
      </c>
    </row>
    <row r="42" hidden="1">
      <c r="A42" s="13">
        <v>40.0</v>
      </c>
      <c r="B42" s="13" t="s">
        <v>22</v>
      </c>
      <c r="C42" s="14" t="s">
        <v>71</v>
      </c>
      <c r="D42" s="14" t="s">
        <v>88</v>
      </c>
      <c r="E42" s="15"/>
      <c r="F42" s="12">
        <f>IFERROR(VLOOKUP(D42,Produtos_Results!$A$2:$E$22,5),"")</f>
        <v>0</v>
      </c>
      <c r="G42" s="15"/>
      <c r="H42" s="13" t="s">
        <v>52</v>
      </c>
      <c r="I42" s="13" t="s">
        <v>85</v>
      </c>
    </row>
    <row r="43">
      <c r="A43" s="7">
        <v>41.0</v>
      </c>
      <c r="B43" s="17" t="s">
        <v>22</v>
      </c>
      <c r="C43" s="11" t="s">
        <v>71</v>
      </c>
      <c r="D43" s="11" t="s">
        <v>93</v>
      </c>
      <c r="E43" s="10"/>
      <c r="F43" s="12">
        <f>IFERROR(VLOOKUP(D43,Produtos_Results!$A$2:$E$22,5),"")</f>
        <v>0</v>
      </c>
      <c r="G43" s="10"/>
      <c r="H43" s="17" t="s">
        <v>52</v>
      </c>
      <c r="I43" s="17" t="s">
        <v>48</v>
      </c>
    </row>
    <row r="44" hidden="1">
      <c r="A44" s="13">
        <v>42.0</v>
      </c>
      <c r="B44" s="27"/>
      <c r="C44" s="14"/>
      <c r="D44" s="14"/>
      <c r="E44" s="15"/>
      <c r="F44" s="15"/>
      <c r="G44" s="15"/>
      <c r="H44" s="13"/>
      <c r="I44" s="28"/>
    </row>
    <row r="45" hidden="1">
      <c r="A45" s="17">
        <v>43.0</v>
      </c>
      <c r="B45" s="29"/>
      <c r="C45" s="11"/>
      <c r="D45" s="11"/>
      <c r="E45" s="10"/>
      <c r="F45" s="10"/>
      <c r="G45" s="10"/>
      <c r="H45" s="17"/>
      <c r="I45" s="30"/>
    </row>
    <row r="46" hidden="1">
      <c r="A46" s="13">
        <v>44.0</v>
      </c>
      <c r="B46" s="27"/>
      <c r="C46" s="14"/>
      <c r="D46" s="14"/>
      <c r="E46" s="15"/>
      <c r="F46" s="15"/>
      <c r="G46" s="15"/>
      <c r="H46" s="13"/>
      <c r="I46" s="28"/>
    </row>
    <row r="47" hidden="1">
      <c r="A47" s="7">
        <v>45.0</v>
      </c>
      <c r="B47" s="29"/>
      <c r="C47" s="11"/>
      <c r="D47" s="11"/>
      <c r="E47" s="10"/>
      <c r="F47" s="10"/>
      <c r="G47" s="10"/>
      <c r="H47" s="17"/>
      <c r="I47" s="30"/>
    </row>
    <row r="48" hidden="1">
      <c r="A48" s="13">
        <v>46.0</v>
      </c>
      <c r="B48" s="27"/>
      <c r="C48" s="14"/>
      <c r="D48" s="14"/>
      <c r="E48" s="15"/>
      <c r="F48" s="15"/>
      <c r="G48" s="15"/>
      <c r="H48" s="13"/>
      <c r="I48" s="28"/>
    </row>
    <row r="49" hidden="1">
      <c r="A49" s="17">
        <v>47.0</v>
      </c>
      <c r="B49" s="29"/>
      <c r="C49" s="11"/>
      <c r="D49" s="11"/>
      <c r="E49" s="10"/>
      <c r="F49" s="10"/>
      <c r="G49" s="10"/>
      <c r="H49" s="17"/>
      <c r="I49" s="30"/>
    </row>
    <row r="50" hidden="1">
      <c r="A50" s="13">
        <v>48.0</v>
      </c>
      <c r="B50" s="27"/>
      <c r="C50" s="14"/>
      <c r="D50" s="14"/>
      <c r="E50" s="15"/>
      <c r="F50" s="15"/>
      <c r="G50" s="15"/>
      <c r="H50" s="13"/>
      <c r="I50" s="28"/>
    </row>
    <row r="51" hidden="1">
      <c r="A51" s="7">
        <v>49.0</v>
      </c>
      <c r="B51" s="29"/>
      <c r="C51" s="11"/>
      <c r="D51" s="11"/>
      <c r="E51" s="10"/>
      <c r="F51" s="10"/>
      <c r="G51" s="10"/>
      <c r="H51" s="17"/>
      <c r="I51" s="30"/>
    </row>
    <row r="52" hidden="1">
      <c r="A52" s="13">
        <v>50.0</v>
      </c>
      <c r="B52" s="27"/>
      <c r="C52" s="14"/>
      <c r="D52" s="14"/>
      <c r="E52" s="15"/>
      <c r="F52" s="15"/>
      <c r="G52" s="15"/>
      <c r="H52" s="13"/>
      <c r="I52" s="28"/>
    </row>
    <row r="53" hidden="1">
      <c r="A53" s="17">
        <v>51.0</v>
      </c>
      <c r="B53" s="29"/>
      <c r="C53" s="11"/>
      <c r="D53" s="11"/>
      <c r="E53" s="10"/>
      <c r="F53" s="10"/>
      <c r="G53" s="10"/>
      <c r="H53" s="17"/>
      <c r="I53" s="30"/>
    </row>
    <row r="54" hidden="1">
      <c r="A54" s="13">
        <v>52.0</v>
      </c>
      <c r="B54" s="27"/>
      <c r="C54" s="14"/>
      <c r="D54" s="14"/>
      <c r="E54" s="15"/>
      <c r="F54" s="15"/>
      <c r="G54" s="15"/>
      <c r="H54" s="13"/>
      <c r="I54" s="28"/>
    </row>
    <row r="55" hidden="1">
      <c r="A55" s="7">
        <v>53.0</v>
      </c>
      <c r="B55" s="29"/>
      <c r="C55" s="11"/>
      <c r="D55" s="11"/>
      <c r="E55" s="10"/>
      <c r="F55" s="10"/>
      <c r="G55" s="10"/>
      <c r="H55" s="17"/>
      <c r="I55" s="30"/>
    </row>
    <row r="56" hidden="1">
      <c r="A56" s="13">
        <v>54.0</v>
      </c>
      <c r="B56" s="27"/>
      <c r="C56" s="14"/>
      <c r="D56" s="14"/>
      <c r="E56" s="15"/>
      <c r="F56" s="15"/>
      <c r="G56" s="15"/>
      <c r="H56" s="13"/>
      <c r="I56" s="28"/>
    </row>
    <row r="57" hidden="1">
      <c r="A57" s="17">
        <v>55.0</v>
      </c>
      <c r="B57" s="29"/>
      <c r="C57" s="11"/>
      <c r="D57" s="11"/>
      <c r="E57" s="10"/>
      <c r="F57" s="10"/>
      <c r="G57" s="10"/>
      <c r="H57" s="17"/>
      <c r="I57" s="30"/>
    </row>
    <row r="58" hidden="1">
      <c r="A58" s="13">
        <v>56.0</v>
      </c>
      <c r="B58" s="27"/>
      <c r="C58" s="14"/>
      <c r="D58" s="14"/>
      <c r="E58" s="15"/>
      <c r="F58" s="15"/>
      <c r="G58" s="15"/>
      <c r="H58" s="13"/>
      <c r="I58" s="28"/>
    </row>
    <row r="59" hidden="1">
      <c r="A59" s="7">
        <v>57.0</v>
      </c>
      <c r="B59" s="29"/>
      <c r="C59" s="11"/>
      <c r="D59" s="11"/>
      <c r="E59" s="10"/>
      <c r="F59" s="10"/>
      <c r="G59" s="10"/>
      <c r="H59" s="17"/>
      <c r="I59" s="30"/>
    </row>
    <row r="60" hidden="1">
      <c r="A60" s="13">
        <v>58.0</v>
      </c>
      <c r="B60" s="27"/>
      <c r="C60" s="14"/>
      <c r="D60" s="14"/>
      <c r="E60" s="15"/>
      <c r="F60" s="15"/>
      <c r="G60" s="15"/>
      <c r="H60" s="13"/>
      <c r="I60" s="28"/>
    </row>
    <row r="61" hidden="1">
      <c r="A61" s="17">
        <v>59.0</v>
      </c>
      <c r="B61" s="29"/>
      <c r="C61" s="11"/>
      <c r="D61" s="11"/>
      <c r="E61" s="10"/>
      <c r="F61" s="10"/>
      <c r="G61" s="10"/>
      <c r="H61" s="17"/>
      <c r="I61" s="30"/>
    </row>
    <row r="62" hidden="1">
      <c r="A62" s="13">
        <v>60.0</v>
      </c>
      <c r="B62" s="27"/>
      <c r="C62" s="14"/>
      <c r="D62" s="14"/>
      <c r="E62" s="15"/>
      <c r="F62" s="15"/>
      <c r="G62" s="15"/>
      <c r="H62" s="13"/>
      <c r="I62" s="28"/>
    </row>
    <row r="63" hidden="1">
      <c r="A63" s="7">
        <v>61.0</v>
      </c>
      <c r="B63" s="29"/>
      <c r="C63" s="11"/>
      <c r="D63" s="11"/>
      <c r="E63" s="10"/>
      <c r="F63" s="10"/>
      <c r="G63" s="10"/>
      <c r="H63" s="17"/>
      <c r="I63" s="30"/>
    </row>
    <row r="64" hidden="1">
      <c r="A64" s="13">
        <v>62.0</v>
      </c>
      <c r="B64" s="27"/>
      <c r="C64" s="14"/>
      <c r="D64" s="14"/>
      <c r="E64" s="15"/>
      <c r="F64" s="15"/>
      <c r="G64" s="15"/>
      <c r="H64" s="13"/>
      <c r="I64" s="28"/>
    </row>
    <row r="65" hidden="1">
      <c r="A65" s="17">
        <v>63.0</v>
      </c>
      <c r="B65" s="29"/>
      <c r="C65" s="11"/>
      <c r="D65" s="11"/>
      <c r="E65" s="10"/>
      <c r="F65" s="10"/>
      <c r="G65" s="10"/>
      <c r="H65" s="17"/>
      <c r="I65" s="30"/>
    </row>
    <row r="66" hidden="1">
      <c r="A66" s="13">
        <v>64.0</v>
      </c>
      <c r="B66" s="27"/>
      <c r="C66" s="14"/>
      <c r="D66" s="14"/>
      <c r="E66" s="15"/>
      <c r="F66" s="15"/>
      <c r="G66" s="15"/>
      <c r="H66" s="13"/>
      <c r="I66" s="28"/>
    </row>
    <row r="67" hidden="1">
      <c r="A67" s="7">
        <v>65.0</v>
      </c>
      <c r="B67" s="29"/>
      <c r="C67" s="11"/>
      <c r="D67" s="11"/>
      <c r="E67" s="10"/>
      <c r="F67" s="10"/>
      <c r="G67" s="10"/>
      <c r="H67" s="17"/>
      <c r="I67" s="30"/>
    </row>
    <row r="68" hidden="1">
      <c r="A68" s="13">
        <v>66.0</v>
      </c>
      <c r="B68" s="27"/>
      <c r="C68" s="14"/>
      <c r="D68" s="14"/>
      <c r="E68" s="15"/>
      <c r="F68" s="15"/>
      <c r="G68" s="15"/>
      <c r="H68" s="13"/>
      <c r="I68" s="28"/>
    </row>
    <row r="69" hidden="1">
      <c r="A69" s="17">
        <v>67.0</v>
      </c>
      <c r="B69" s="29"/>
      <c r="C69" s="11"/>
      <c r="D69" s="11"/>
      <c r="E69" s="10"/>
      <c r="F69" s="10"/>
      <c r="G69" s="10"/>
      <c r="H69" s="17"/>
      <c r="I69" s="30"/>
    </row>
    <row r="70" hidden="1">
      <c r="A70" s="13">
        <v>68.0</v>
      </c>
      <c r="B70" s="27"/>
      <c r="C70" s="14"/>
      <c r="D70" s="14"/>
      <c r="E70" s="15"/>
      <c r="F70" s="15"/>
      <c r="G70" s="15"/>
      <c r="H70" s="13"/>
      <c r="I70" s="28"/>
    </row>
    <row r="71" hidden="1">
      <c r="A71" s="7">
        <v>69.0</v>
      </c>
      <c r="B71" s="29"/>
      <c r="C71" s="11"/>
      <c r="D71" s="11"/>
      <c r="E71" s="10"/>
      <c r="F71" s="10"/>
      <c r="G71" s="10"/>
      <c r="H71" s="17"/>
      <c r="I71" s="30"/>
    </row>
    <row r="72" hidden="1">
      <c r="A72" s="13">
        <v>70.0</v>
      </c>
      <c r="B72" s="27"/>
      <c r="C72" s="14"/>
      <c r="D72" s="14"/>
      <c r="E72" s="15"/>
      <c r="F72" s="15"/>
      <c r="G72" s="15"/>
      <c r="H72" s="13"/>
      <c r="I72" s="28"/>
    </row>
    <row r="73">
      <c r="A73" s="31"/>
      <c r="B73" s="31"/>
      <c r="C73" s="31"/>
      <c r="D73" s="31"/>
      <c r="E73" s="31"/>
      <c r="F73" s="31"/>
      <c r="G73" s="31"/>
      <c r="H73" s="31"/>
      <c r="I73" s="31"/>
    </row>
    <row r="74">
      <c r="C74" s="32"/>
    </row>
    <row r="76">
      <c r="B76" s="33"/>
      <c r="C76" s="33"/>
      <c r="D76" s="33"/>
      <c r="E76" s="33"/>
      <c r="F76" s="33"/>
      <c r="G76" s="33"/>
    </row>
    <row r="77">
      <c r="B77" s="33"/>
      <c r="C77" s="33"/>
      <c r="D77" s="33"/>
      <c r="E77" s="33"/>
      <c r="F77" s="33"/>
      <c r="G77" s="33"/>
    </row>
    <row r="78">
      <c r="B78" s="33"/>
      <c r="C78" s="33"/>
      <c r="D78" s="33"/>
      <c r="E78" s="33"/>
      <c r="F78" s="33"/>
      <c r="G78" s="33"/>
    </row>
    <row r="79">
      <c r="B79" s="33"/>
      <c r="C79" s="33"/>
      <c r="D79" s="33"/>
      <c r="E79" s="33"/>
      <c r="F79" s="33"/>
      <c r="G79" s="33"/>
    </row>
    <row r="82">
      <c r="C82" s="33"/>
    </row>
    <row r="86">
      <c r="D86" s="33"/>
      <c r="E86" s="33"/>
      <c r="F86" s="33"/>
      <c r="G86" s="33"/>
    </row>
    <row r="87">
      <c r="D87" s="33"/>
      <c r="E87" s="33"/>
      <c r="F87" s="33"/>
      <c r="G87" s="33"/>
    </row>
    <row r="88">
      <c r="D88" s="33"/>
      <c r="E88" s="33"/>
      <c r="F88" s="33"/>
      <c r="G88" s="33"/>
    </row>
    <row r="89">
      <c r="D89" s="33"/>
      <c r="E89" s="33"/>
      <c r="F89" s="33"/>
      <c r="G89" s="33"/>
    </row>
    <row r="90">
      <c r="D90" s="33"/>
      <c r="E90" s="33"/>
      <c r="F90" s="33"/>
      <c r="G90" s="33"/>
    </row>
    <row r="91">
      <c r="D91" s="33"/>
      <c r="E91" s="33"/>
      <c r="F91" s="33"/>
      <c r="G91" s="33"/>
    </row>
  </sheetData>
  <autoFilter ref="$A$2:$I$72">
    <filterColumn colId="8">
      <filters>
        <filter val="4-Quick Wins"/>
      </filters>
    </filterColumn>
  </autoFilter>
  <mergeCells count="1">
    <mergeCell ref="A1:I1"/>
  </mergeCells>
  <conditionalFormatting sqref="F3:F43">
    <cfRule type="colorScale" priority="1">
      <colorScale>
        <cfvo type="percent" val="0"/>
        <cfvo type="percent" val="50"/>
        <cfvo type="percent" val="100"/>
        <color rgb="FFA61C00"/>
        <color rgb="FFFFFDBF"/>
        <color rgb="FF38761D"/>
      </colorScale>
    </cfRule>
  </conditionalFormatting>
  <conditionalFormatting sqref="H3:H72">
    <cfRule type="containsText" dxfId="4" priority="2" operator="containsText" text="Pendente">
      <formula>NOT(ISERROR(SEARCH(("Pendente"),(H3))))</formula>
    </cfRule>
  </conditionalFormatting>
  <conditionalFormatting sqref="H3:H72">
    <cfRule type="containsText" dxfId="5" priority="3" operator="containsText" text="Concluído">
      <formula>NOT(ISERROR(SEARCH(("Concluído"),(H3))))</formula>
    </cfRule>
  </conditionalFormatting>
  <conditionalFormatting sqref="H3:H72">
    <cfRule type="containsText" dxfId="6" priority="4" operator="containsText" text="Cancelado">
      <formula>NOT(ISERROR(SEARCH(("Cancelado"),(H3))))</formula>
    </cfRule>
  </conditionalFormatting>
  <conditionalFormatting sqref="H3:H72">
    <cfRule type="containsText" dxfId="7" priority="5" operator="containsText" text="Andamento">
      <formula>NOT(ISERROR(SEARCH(("Andamento"),(H3))))</formula>
    </cfRule>
  </conditionalFormatting>
  <dataValidations>
    <dataValidation type="list" allowBlank="1" sqref="H3:H72">
      <formula1>"Andamento,Concluído,Cancelado,Pendente"</formula1>
    </dataValidation>
    <dataValidation type="list" allowBlank="1" showErrorMessage="1" sqref="I3:I72">
      <formula1>"4-Quick Wins,3-Short Term,2-Medium Term,1-Extend Term"</formula1>
    </dataValidation>
    <dataValidation type="list" allowBlank="1" showErrorMessage="1" sqref="D3:D72">
      <formula1>Produtos_Results!$A$3:$A$22</formula1>
    </dataValidation>
    <dataValidation type="list" allowBlank="1" sqref="B3:B72">
      <formula1>"Jefferson,Paulo,Hugo,Gerson,Marcos,Paloma"</formula1>
    </dataValidation>
    <dataValidation type="list" allowBlank="1" sqref="C3:C72">
      <formula1>Tabela_Requisitos_Negocio!$B$3:$B$7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38.86"/>
    <col customWidth="1" min="3" max="3" width="13.0"/>
    <col customWidth="1" min="4" max="4" width="13.14"/>
    <col customWidth="1" min="5" max="5" width="15.0"/>
    <col customWidth="1" min="6" max="6" width="116.57"/>
  </cols>
  <sheetData>
    <row r="1">
      <c r="A1" s="18" t="s">
        <v>61</v>
      </c>
    </row>
    <row r="2">
      <c r="A2" s="19" t="s">
        <v>62</v>
      </c>
      <c r="B2" s="19" t="s">
        <v>6</v>
      </c>
      <c r="C2" s="19" t="s">
        <v>63</v>
      </c>
      <c r="D2" s="19" t="s">
        <v>64</v>
      </c>
      <c r="E2" s="19" t="s">
        <v>12</v>
      </c>
      <c r="F2" s="19" t="s">
        <v>65</v>
      </c>
    </row>
    <row r="3">
      <c r="A3" s="20" t="s">
        <v>59</v>
      </c>
      <c r="B3" s="20" t="s">
        <v>66</v>
      </c>
      <c r="C3" s="21">
        <f>IFERROR(COUNTIF(Produtos_X_Funcionalidades!$B$3:$B$62,A3),0)</f>
        <v>0</v>
      </c>
      <c r="D3" s="22">
        <f>IFERROR(COUNTIFS(Produtos_X_Funcionalidades!$B$3:$B$62,A3,Produtos_X_Funcionalidades!$F$3:$F$62,"Concluído"),0)</f>
        <v>0</v>
      </c>
      <c r="E3" s="23">
        <f>IFERROR(COUNTIFS(Produtos_X_Funcionalidades!$B$3:$B$62,A3,Produtos_X_Funcionalidades!$F$3:$F$62,"Concluído")/C3,0)</f>
        <v>0</v>
      </c>
      <c r="F3" s="20" t="s">
        <v>69</v>
      </c>
    </row>
    <row r="4">
      <c r="A4" s="24" t="s">
        <v>49</v>
      </c>
      <c r="B4" s="24" t="s">
        <v>70</v>
      </c>
      <c r="C4" s="21">
        <f>IFERROR(COUNTIF(Produtos_X_Funcionalidades!$B$3:$B$62,A4),0)</f>
        <v>0</v>
      </c>
      <c r="D4" s="22">
        <f>IFERROR(COUNTIFS(Produtos_X_Funcionalidades!$B$3:$B$62,A4,Produtos_X_Funcionalidades!$F$3:$F$62,"Concluído"),0)</f>
        <v>0</v>
      </c>
      <c r="E4" s="23">
        <f>IFERROR(COUNTIFS(Produtos_X_Funcionalidades!$B$3:$B$62,A4,Produtos_X_Funcionalidades!$F$3:$F$62,"Concluído")/C4,0)</f>
        <v>0</v>
      </c>
      <c r="F4" s="24" t="s">
        <v>72</v>
      </c>
    </row>
    <row r="5">
      <c r="A5" s="20" t="s">
        <v>54</v>
      </c>
      <c r="B5" s="20" t="s">
        <v>73</v>
      </c>
      <c r="C5" s="21">
        <f>IFERROR(COUNTIF(Produtos_X_Funcionalidades!$B$3:$B$62,A5),0)</f>
        <v>4</v>
      </c>
      <c r="D5" s="22">
        <f>IFERROR(COUNTIFS(Produtos_X_Funcionalidades!$B$3:$B$62,A5,Produtos_X_Funcionalidades!$F$3:$F$62,"Concluído"),0)</f>
        <v>2</v>
      </c>
      <c r="E5" s="23">
        <f>IFERROR(COUNTIFS(Produtos_X_Funcionalidades!$B$3:$B$62,A5,Produtos_X_Funcionalidades!$F$3:$F$62,"Concluído")/C5,0)</f>
        <v>0.5</v>
      </c>
      <c r="F5" s="25"/>
    </row>
    <row r="6">
      <c r="A6" s="24" t="s">
        <v>56</v>
      </c>
      <c r="B6" s="24" t="s">
        <v>75</v>
      </c>
      <c r="C6" s="21">
        <f>IFERROR(COUNTIF(Produtos_X_Funcionalidades!$B$3:$B$62,A6),0)</f>
        <v>0</v>
      </c>
      <c r="D6" s="22">
        <f>IFERROR(COUNTIFS(Produtos_X_Funcionalidades!$B$3:$B$62,A6,Produtos_X_Funcionalidades!$F$3:$F$62,"Concluído"),0)</f>
        <v>0</v>
      </c>
      <c r="E6" s="23">
        <f>IFERROR(COUNTIFS(Produtos_X_Funcionalidades!$B$3:$B$62,A6,Produtos_X_Funcionalidades!$F$3:$F$62,"Concluído")/C6,0)</f>
        <v>0</v>
      </c>
      <c r="F6" s="26"/>
    </row>
    <row r="7">
      <c r="A7" s="20" t="s">
        <v>68</v>
      </c>
      <c r="B7" s="20" t="s">
        <v>77</v>
      </c>
      <c r="C7" s="21">
        <f>IFERROR(COUNTIF(Produtos_X_Funcionalidades!$B$3:$B$62,A7),0)</f>
        <v>8</v>
      </c>
      <c r="D7" s="22">
        <f>IFERROR(COUNTIFS(Produtos_X_Funcionalidades!$B$3:$B$62,A7,Produtos_X_Funcionalidades!$F$3:$F$62,"Concluído"),0)</f>
        <v>2</v>
      </c>
      <c r="E7" s="23">
        <f>IFERROR(COUNTIFS(Produtos_X_Funcionalidades!$B$3:$B$62,A7,Produtos_X_Funcionalidades!$F$3:$F$62,"Concluído")/C7,0)</f>
        <v>0.25</v>
      </c>
      <c r="F7" s="20" t="s">
        <v>79</v>
      </c>
    </row>
    <row r="8">
      <c r="A8" s="24" t="s">
        <v>80</v>
      </c>
      <c r="B8" s="24" t="s">
        <v>81</v>
      </c>
      <c r="C8" s="21">
        <f>IFERROR(COUNTIF(Produtos_X_Funcionalidades!$B$3:$B$62,A8),0)</f>
        <v>4</v>
      </c>
      <c r="D8" s="22">
        <f>IFERROR(COUNTIFS(Produtos_X_Funcionalidades!$B$3:$B$62,A8,Produtos_X_Funcionalidades!$F$3:$F$62,"Concluído"),0)</f>
        <v>2</v>
      </c>
      <c r="E8" s="23">
        <f>IFERROR(COUNTIFS(Produtos_X_Funcionalidades!$B$3:$B$62,A8,Produtos_X_Funcionalidades!$F$3:$F$62,"Concluído")/C8,0)</f>
        <v>0.5</v>
      </c>
      <c r="F8" s="24" t="s">
        <v>82</v>
      </c>
    </row>
    <row r="9">
      <c r="A9" s="20" t="s">
        <v>83</v>
      </c>
      <c r="B9" s="20" t="s">
        <v>84</v>
      </c>
      <c r="C9" s="21">
        <f>IFERROR(COUNTIF(Produtos_X_Funcionalidades!$B$3:$B$62,A9),0)</f>
        <v>8</v>
      </c>
      <c r="D9" s="22">
        <f>IFERROR(COUNTIFS(Produtos_X_Funcionalidades!$B$3:$B$62,A9,Produtos_X_Funcionalidades!$F$3:$F$62,"Concluído"),0)</f>
        <v>6</v>
      </c>
      <c r="E9" s="23">
        <f>IFERROR(COUNTIFS(Produtos_X_Funcionalidades!$B$3:$B$62,A9,Produtos_X_Funcionalidades!$F$3:$F$62,"Concluído")/C9,0)</f>
        <v>0.75</v>
      </c>
      <c r="F9" s="25"/>
    </row>
    <row r="10">
      <c r="A10" s="24" t="s">
        <v>67</v>
      </c>
      <c r="B10" s="24" t="s">
        <v>87</v>
      </c>
      <c r="C10" s="21">
        <f>IFERROR(COUNTIF(Produtos_X_Funcionalidades!$B$3:$B$62,A10),0)</f>
        <v>7</v>
      </c>
      <c r="D10" s="22">
        <f>IFERROR(COUNTIFS(Produtos_X_Funcionalidades!$B$3:$B$62,A10,Produtos_X_Funcionalidades!$F$3:$F$62,"Concluído"),0)</f>
        <v>6</v>
      </c>
      <c r="E10" s="23">
        <f>IFERROR(COUNTIFS(Produtos_X_Funcionalidades!$B$3:$B$62,A10,Produtos_X_Funcionalidades!$F$3:$F$62,"Concluído")/C10,0)</f>
        <v>0.8571428571</v>
      </c>
      <c r="F10" s="24" t="s">
        <v>90</v>
      </c>
    </row>
    <row r="11">
      <c r="A11" s="20" t="s">
        <v>78</v>
      </c>
      <c r="B11" s="20" t="s">
        <v>91</v>
      </c>
      <c r="C11" s="21">
        <f>IFERROR(COUNTIF(Produtos_X_Funcionalidades!$B$3:$B$62,A11),0)</f>
        <v>0</v>
      </c>
      <c r="D11" s="22">
        <f>IFERROR(COUNTIFS(Produtos_X_Funcionalidades!$B$3:$B$62,A11,Produtos_X_Funcionalidades!$F$3:$F$62,"Concluído"),0)</f>
        <v>0</v>
      </c>
      <c r="E11" s="23">
        <f>IFERROR(COUNTIFS(Produtos_X_Funcionalidades!$B$3:$B$62,A11,Produtos_X_Funcionalidades!$F$3:$F$62,"Concluído")/C11,0)</f>
        <v>0</v>
      </c>
      <c r="F11" s="20" t="s">
        <v>92</v>
      </c>
    </row>
    <row r="12">
      <c r="A12" s="24" t="s">
        <v>93</v>
      </c>
      <c r="B12" s="24" t="s">
        <v>94</v>
      </c>
      <c r="C12" s="21">
        <f>IFERROR(COUNTIF(Produtos_X_Funcionalidades!$B$3:$B$62,A12),0)</f>
        <v>6</v>
      </c>
      <c r="D12" s="22">
        <f>IFERROR(COUNTIFS(Produtos_X_Funcionalidades!$B$3:$B$62,A12,Produtos_X_Funcionalidades!$F$3:$F$62,"Concluído"),0)</f>
        <v>0</v>
      </c>
      <c r="E12" s="23">
        <f>IFERROR(COUNTIFS(Produtos_X_Funcionalidades!$B$3:$B$62,A12,Produtos_X_Funcionalidades!$F$3:$F$62,"Concluído")/C12,0)</f>
        <v>0</v>
      </c>
      <c r="F12" s="24" t="s">
        <v>95</v>
      </c>
    </row>
    <row r="13">
      <c r="A13" s="20" t="s">
        <v>51</v>
      </c>
      <c r="B13" s="20" t="s">
        <v>96</v>
      </c>
      <c r="C13" s="21">
        <f>IFERROR(COUNTIF(Produtos_X_Funcionalidades!$B$3:$B$62,A13),0)</f>
        <v>0</v>
      </c>
      <c r="D13" s="22">
        <f>IFERROR(COUNTIFS(Produtos_X_Funcionalidades!$B$3:$B$62,A13,Produtos_X_Funcionalidades!$F$3:$F$62,"Concluído"),0)</f>
        <v>0</v>
      </c>
      <c r="E13" s="23">
        <f>IFERROR(COUNTIFS(Produtos_X_Funcionalidades!$B$3:$B$62,A13,Produtos_X_Funcionalidades!$F$3:$F$62,"Concluído")/C13,0)</f>
        <v>0</v>
      </c>
      <c r="F13" s="20" t="s">
        <v>97</v>
      </c>
    </row>
    <row r="14">
      <c r="A14" s="24" t="s">
        <v>86</v>
      </c>
      <c r="B14" s="24" t="s">
        <v>98</v>
      </c>
      <c r="C14" s="21">
        <f>IFERROR(COUNTIF(Produtos_X_Funcionalidades!$B$3:$B$62,A14),0)</f>
        <v>9</v>
      </c>
      <c r="D14" s="22">
        <f>IFERROR(COUNTIFS(Produtos_X_Funcionalidades!$B$3:$B$62,A14,Produtos_X_Funcionalidades!$F$3:$F$62,"Concluído"),0)</f>
        <v>6</v>
      </c>
      <c r="E14" s="23">
        <f>IFERROR(COUNTIFS(Produtos_X_Funcionalidades!$B$3:$B$62,A14,Produtos_X_Funcionalidades!$F$3:$F$62,"Concluído")/C14,0)</f>
        <v>0.6666666667</v>
      </c>
      <c r="F14" s="26"/>
    </row>
    <row r="15">
      <c r="A15" s="20" t="s">
        <v>39</v>
      </c>
      <c r="B15" s="20" t="s">
        <v>99</v>
      </c>
      <c r="C15" s="21">
        <f>IFERROR(COUNTIF(Produtos_X_Funcionalidades!$B$3:$B$62,A15),0)</f>
        <v>14</v>
      </c>
      <c r="D15" s="22">
        <f>IFERROR(COUNTIFS(Produtos_X_Funcionalidades!$B$3:$B$62,A15,Produtos_X_Funcionalidades!$F$3:$F$62,"Concluído"),0)</f>
        <v>12</v>
      </c>
      <c r="E15" s="23">
        <f>IFERROR(COUNTIFS(Produtos_X_Funcionalidades!$B$3:$B$62,A15,Produtos_X_Funcionalidades!$F$3:$F$62,"Concluído")/C15,0)</f>
        <v>0.8571428571</v>
      </c>
      <c r="F15" s="20" t="s">
        <v>100</v>
      </c>
    </row>
    <row r="16">
      <c r="A16" s="24" t="s">
        <v>88</v>
      </c>
      <c r="B16" s="24" t="s">
        <v>101</v>
      </c>
      <c r="C16" s="21">
        <f>IFERROR(COUNTIF(Produtos_X_Funcionalidades!$B$3:$B$62,A16),0)</f>
        <v>0</v>
      </c>
      <c r="D16" s="22">
        <f>IFERROR(COUNTIFS(Produtos_X_Funcionalidades!$B$3:$B$62,A16,Produtos_X_Funcionalidades!$F$3:$F$62,"Concluído"),0)</f>
        <v>0</v>
      </c>
      <c r="E16" s="23">
        <f>IFERROR(COUNTIFS(Produtos_X_Funcionalidades!$B$3:$B$62,A16,Produtos_X_Funcionalidades!$F$3:$F$62,"Concluído")/C16,0)</f>
        <v>0</v>
      </c>
      <c r="F16" s="24" t="s">
        <v>102</v>
      </c>
    </row>
    <row r="17">
      <c r="A17" s="25"/>
      <c r="B17" s="25"/>
      <c r="C17" s="21">
        <f>IFERROR(COUNTIF(Produtos_X_Funcionalidades!$B$3:$B$62,A17),0)</f>
        <v>0</v>
      </c>
      <c r="D17" s="22">
        <f>IFERROR(COUNTIFS(Produtos_X_Funcionalidades!$B$3:$B$62,A17,Produtos_X_Funcionalidades!$F$3:$F$62,"Concluído"),0)</f>
        <v>0</v>
      </c>
      <c r="E17" s="23">
        <f>IFERROR(COUNTIFS(Produtos_X_Funcionalidades!$B$3:$B$62,A17,Produtos_X_Funcionalidades!$F$3:$F$62,"Concluído")/C17,0)</f>
        <v>0</v>
      </c>
      <c r="F17" s="25"/>
    </row>
    <row r="18">
      <c r="A18" s="26"/>
      <c r="B18" s="26"/>
      <c r="C18" s="21">
        <f>IFERROR(COUNTIF(Produtos_X_Funcionalidades!$B$3:$B$62,A18),0)</f>
        <v>0</v>
      </c>
      <c r="D18" s="22">
        <f>IFERROR(COUNTIFS(Produtos_X_Funcionalidades!$B$3:$B$62,A18,Produtos_X_Funcionalidades!$F$3:$F$62,"Concluído"),0)</f>
        <v>0</v>
      </c>
      <c r="E18" s="23">
        <f>IFERROR(COUNTIFS(Produtos_X_Funcionalidades!$B$3:$B$62,A18,Produtos_X_Funcionalidades!$F$3:$F$62,"Concluído")/C18,0)</f>
        <v>0</v>
      </c>
      <c r="F18" s="26"/>
    </row>
    <row r="19">
      <c r="A19" s="25"/>
      <c r="B19" s="25"/>
      <c r="C19" s="21">
        <f>IFERROR(COUNTIF(Produtos_X_Funcionalidades!$B$3:$B$62,A19),0)</f>
        <v>0</v>
      </c>
      <c r="D19" s="22">
        <f>IFERROR(COUNTIFS(Produtos_X_Funcionalidades!$B$3:$B$62,A19,Produtos_X_Funcionalidades!$F$3:$F$62,"Concluído"),0)</f>
        <v>0</v>
      </c>
      <c r="E19" s="23">
        <f>IFERROR(COUNTIFS(Produtos_X_Funcionalidades!$B$3:$B$62,A19,Produtos_X_Funcionalidades!$F$3:$F$62,"Concluído")/C19,0)</f>
        <v>0</v>
      </c>
      <c r="F19" s="25"/>
    </row>
    <row r="20">
      <c r="A20" s="26"/>
      <c r="B20" s="26"/>
      <c r="C20" s="21">
        <f>IFERROR(COUNTIF(Produtos_X_Funcionalidades!$B$3:$B$62,A20),0)</f>
        <v>0</v>
      </c>
      <c r="D20" s="22">
        <f>IFERROR(COUNTIFS(Produtos_X_Funcionalidades!$B$3:$B$62,A20,Produtos_X_Funcionalidades!$F$3:$F$62,"Concluído"),0)</f>
        <v>0</v>
      </c>
      <c r="E20" s="23">
        <f>IFERROR(COUNTIFS(Produtos_X_Funcionalidades!$B$3:$B$62,A20,Produtos_X_Funcionalidades!$F$3:$F$62,"Concluído")/C20,0)</f>
        <v>0</v>
      </c>
      <c r="F20" s="26"/>
    </row>
    <row r="21">
      <c r="A21" s="25"/>
      <c r="B21" s="25"/>
      <c r="C21" s="21">
        <f>IFERROR(COUNTIF(Produtos_X_Funcionalidades!$B$3:$B$62,A21),0)</f>
        <v>0</v>
      </c>
      <c r="D21" s="22">
        <f>IFERROR(COUNTIFS(Produtos_X_Funcionalidades!$B$3:$B$62,A21,Produtos_X_Funcionalidades!$F$3:$F$62,"Concluído"),0)</f>
        <v>0</v>
      </c>
      <c r="E21" s="23">
        <f>IFERROR(COUNTIFS(Produtos_X_Funcionalidades!$B$3:$B$62,A21,Produtos_X_Funcionalidades!$F$3:$F$62,"Concluído")/C21,0)</f>
        <v>0</v>
      </c>
      <c r="F21" s="25"/>
    </row>
    <row r="22">
      <c r="A22" s="26"/>
      <c r="B22" s="26"/>
      <c r="C22" s="21">
        <f>IFERROR(COUNTIF(Produtos_X_Funcionalidades!$B$3:$B$62,A22),0)</f>
        <v>0</v>
      </c>
      <c r="D22" s="22">
        <f>IFERROR(COUNTIFS(Produtos_X_Funcionalidades!$B$3:$B$62,A22,Produtos_X_Funcionalidades!$F$3:$F$62,"Concluído"),0)</f>
        <v>0</v>
      </c>
      <c r="E22" s="23">
        <f>IFERROR(COUNTIFS(Produtos_X_Funcionalidades!$B$3:$B$62,A22,Produtos_X_Funcionalidades!$F$3:$F$62,"Concluído")/C22,0)</f>
        <v>0</v>
      </c>
      <c r="F22" s="26"/>
    </row>
  </sheetData>
  <autoFilter ref="$A$2:$F$22">
    <sortState ref="A2:F22">
      <sortCondition ref="A2:A22"/>
    </sortState>
  </autoFilter>
  <mergeCells count="1">
    <mergeCell ref="A1:F1"/>
  </mergeCells>
  <conditionalFormatting sqref="E3:E22">
    <cfRule type="colorScale" priority="1">
      <colorScale>
        <cfvo type="percent" val="0"/>
        <cfvo type="percent" val="50"/>
        <cfvo type="percent" val="100"/>
        <color rgb="FFA61C00"/>
        <color rgb="FFFFFDBF"/>
        <color rgb="FF38761D"/>
      </colorScale>
    </cfRule>
  </conditionalFormatting>
  <conditionalFormatting sqref="E3:E22">
    <cfRule type="colorScale" priority="2">
      <colorScale>
        <cfvo type="percent" val="0"/>
        <cfvo type="percent" val="50"/>
        <cfvo type="percent" val="100"/>
        <color rgb="FFE67C73"/>
        <color rgb="FF8064A2"/>
        <color rgb="FF274E13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49.29"/>
  </cols>
  <sheetData>
    <row r="1">
      <c r="A1" s="34" t="s">
        <v>1</v>
      </c>
      <c r="B1" s="34" t="s">
        <v>103</v>
      </c>
      <c r="C1" s="34" t="s">
        <v>13</v>
      </c>
    </row>
    <row r="2">
      <c r="A2" s="34">
        <v>1.0</v>
      </c>
      <c r="B2" s="34" t="s">
        <v>104</v>
      </c>
      <c r="C2" s="34" t="s">
        <v>105</v>
      </c>
    </row>
    <row r="3">
      <c r="A3" s="34">
        <v>2.0</v>
      </c>
      <c r="B3" s="34" t="s">
        <v>106</v>
      </c>
      <c r="C3" s="34" t="s">
        <v>105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0.29"/>
    <col customWidth="1" min="3" max="3" width="15.0"/>
    <col customWidth="1" min="4" max="4" width="38.86"/>
    <col customWidth="1" min="5" max="5" width="81.86"/>
    <col customWidth="1" min="6" max="6" width="19.43"/>
    <col customWidth="1" min="7" max="7" width="116.57"/>
  </cols>
  <sheetData>
    <row r="1">
      <c r="A1" s="35" t="s">
        <v>107</v>
      </c>
    </row>
    <row r="2">
      <c r="A2" s="36" t="s">
        <v>1</v>
      </c>
      <c r="B2" s="36" t="s">
        <v>108</v>
      </c>
      <c r="C2" s="19" t="s">
        <v>12</v>
      </c>
      <c r="D2" s="37" t="s">
        <v>6</v>
      </c>
      <c r="E2" s="38" t="s">
        <v>109</v>
      </c>
      <c r="F2" s="38" t="s">
        <v>14</v>
      </c>
      <c r="G2" s="38" t="s">
        <v>65</v>
      </c>
    </row>
    <row r="3">
      <c r="A3" s="39">
        <v>1.0</v>
      </c>
      <c r="B3" s="39" t="s">
        <v>80</v>
      </c>
      <c r="C3" s="23">
        <f>IFERROR(VLOOKUP(B3,Produtos_Results!$A$2:$E$22,5),"")</f>
        <v>0.5</v>
      </c>
      <c r="D3" s="43" t="str">
        <f>IFERROR(VLOOKUP(B3,Produtos_Results!$A$3:$B$22,2,FALSE),"")</f>
        <v>Gerenciador de ERP</v>
      </c>
      <c r="E3" s="20" t="s">
        <v>114</v>
      </c>
      <c r="F3" s="7" t="s">
        <v>47</v>
      </c>
      <c r="G3" s="20" t="s">
        <v>115</v>
      </c>
    </row>
    <row r="4">
      <c r="A4" s="45">
        <v>2.0</v>
      </c>
      <c r="B4" s="45" t="s">
        <v>80</v>
      </c>
      <c r="C4" s="23">
        <f>IFERROR(VLOOKUP(B4,Produtos_Results!$A$2:$E$22,5),"")</f>
        <v>0.5</v>
      </c>
      <c r="D4" s="43" t="str">
        <f>IFERROR(VLOOKUP(B4,Produtos_Results!$A$3:$B$22,2,FALSE),"")</f>
        <v>Gerenciador de ERP</v>
      </c>
      <c r="E4" s="24" t="s">
        <v>116</v>
      </c>
      <c r="F4" s="46" t="s">
        <v>50</v>
      </c>
      <c r="G4" s="24" t="s">
        <v>117</v>
      </c>
    </row>
    <row r="5">
      <c r="A5" s="39">
        <v>3.0</v>
      </c>
      <c r="B5" s="39" t="s">
        <v>80</v>
      </c>
      <c r="C5" s="23">
        <f>IFERROR(VLOOKUP(B5,Produtos_Results!$A$2:$E$22,5),"")</f>
        <v>0.5</v>
      </c>
      <c r="D5" s="43" t="str">
        <f>IFERROR(VLOOKUP(B5,Produtos_Results!$A$3:$B$22,2,FALSE),"")</f>
        <v>Gerenciador de ERP</v>
      </c>
      <c r="E5" s="20" t="s">
        <v>118</v>
      </c>
      <c r="F5" s="7" t="s">
        <v>52</v>
      </c>
      <c r="G5" s="20" t="s">
        <v>119</v>
      </c>
    </row>
    <row r="6">
      <c r="A6" s="45">
        <v>4.0</v>
      </c>
      <c r="B6" s="45" t="s">
        <v>80</v>
      </c>
      <c r="C6" s="23">
        <f>IFERROR(VLOOKUP(B6,Produtos_Results!$A$2:$E$22,5),"")</f>
        <v>0.5</v>
      </c>
      <c r="D6" s="43" t="str">
        <f>IFERROR(VLOOKUP(B6,Produtos_Results!$A$3:$B$22,2,FALSE),"")</f>
        <v>Gerenciador de ERP</v>
      </c>
      <c r="E6" s="24" t="s">
        <v>120</v>
      </c>
      <c r="F6" s="46" t="s">
        <v>47</v>
      </c>
      <c r="G6" s="24" t="s">
        <v>121</v>
      </c>
    </row>
    <row r="7">
      <c r="A7" s="39">
        <v>5.0</v>
      </c>
      <c r="B7" s="39" t="s">
        <v>39</v>
      </c>
      <c r="C7" s="23">
        <f>IFERROR(VLOOKUP(B7,Produtos_Results!$A$2:$E$22,5),"")</f>
        <v>0.8571428571</v>
      </c>
      <c r="D7" s="43" t="str">
        <f>IFERROR(VLOOKUP(B7,Produtos_Results!$A$3:$B$22,2,FALSE),"")</f>
        <v>Gerenciador de Chamadas</v>
      </c>
      <c r="E7" s="20" t="s">
        <v>122</v>
      </c>
      <c r="F7" s="7" t="s">
        <v>47</v>
      </c>
      <c r="G7" s="20"/>
    </row>
    <row r="8">
      <c r="A8" s="45">
        <v>6.0</v>
      </c>
      <c r="B8" s="45" t="s">
        <v>39</v>
      </c>
      <c r="C8" s="23">
        <f>IFERROR(VLOOKUP(B8,Produtos_Results!$A$2:$E$22,5),"")</f>
        <v>0.8571428571</v>
      </c>
      <c r="D8" s="43" t="str">
        <f>IFERROR(VLOOKUP(B8,Produtos_Results!$A$3:$B$22,2,FALSE),"")</f>
        <v>Gerenciador de Chamadas</v>
      </c>
      <c r="E8" s="24" t="s">
        <v>124</v>
      </c>
      <c r="F8" s="46" t="s">
        <v>47</v>
      </c>
      <c r="G8" s="24"/>
    </row>
    <row r="9">
      <c r="A9" s="39">
        <v>7.0</v>
      </c>
      <c r="B9" s="39" t="s">
        <v>39</v>
      </c>
      <c r="C9" s="23">
        <f>IFERROR(VLOOKUP(B9,Produtos_Results!$A$2:$E$22,5),"")</f>
        <v>0.8571428571</v>
      </c>
      <c r="D9" s="43" t="str">
        <f>IFERROR(VLOOKUP(B9,Produtos_Results!$A$3:$B$22,2,FALSE),"")</f>
        <v>Gerenciador de Chamadas</v>
      </c>
      <c r="E9" s="55" t="s">
        <v>127</v>
      </c>
      <c r="F9" s="7" t="s">
        <v>47</v>
      </c>
      <c r="G9" s="20"/>
    </row>
    <row r="10">
      <c r="A10" s="45">
        <v>8.0</v>
      </c>
      <c r="B10" s="45" t="s">
        <v>39</v>
      </c>
      <c r="C10" s="23">
        <f>IFERROR(VLOOKUP(B10,Produtos_Results!$A$2:$E$22,5),"")</f>
        <v>0.8571428571</v>
      </c>
      <c r="D10" s="43" t="str">
        <f>IFERROR(VLOOKUP(B10,Produtos_Results!$A$3:$B$22,2,FALSE),"")</f>
        <v>Gerenciador de Chamadas</v>
      </c>
      <c r="E10" s="57" t="s">
        <v>134</v>
      </c>
      <c r="F10" s="46" t="s">
        <v>47</v>
      </c>
      <c r="G10" s="24"/>
    </row>
    <row r="11">
      <c r="A11" s="39">
        <v>9.0</v>
      </c>
      <c r="B11" s="39" t="s">
        <v>39</v>
      </c>
      <c r="C11" s="23">
        <f>IFERROR(VLOOKUP(B11,Produtos_Results!$A$2:$E$22,5),"")</f>
        <v>0.8571428571</v>
      </c>
      <c r="D11" s="43" t="str">
        <f>IFERROR(VLOOKUP(B11,Produtos_Results!$A$3:$B$22,2,FALSE),"")</f>
        <v>Gerenciador de Chamadas</v>
      </c>
      <c r="E11" s="20" t="s">
        <v>139</v>
      </c>
      <c r="F11" s="7" t="s">
        <v>47</v>
      </c>
      <c r="G11" s="25"/>
    </row>
    <row r="12">
      <c r="A12" s="45">
        <v>10.0</v>
      </c>
      <c r="B12" s="45" t="s">
        <v>39</v>
      </c>
      <c r="C12" s="23">
        <f>IFERROR(VLOOKUP(B12,Produtos_Results!$A$2:$E$22,5),"")</f>
        <v>0.8571428571</v>
      </c>
      <c r="D12" s="43" t="str">
        <f>IFERROR(VLOOKUP(B12,Produtos_Results!$A$3:$B$22,2,FALSE),"")</f>
        <v>Gerenciador de Chamadas</v>
      </c>
      <c r="E12" s="24" t="s">
        <v>144</v>
      </c>
      <c r="F12" s="46" t="s">
        <v>47</v>
      </c>
      <c r="G12" s="24"/>
    </row>
    <row r="13">
      <c r="A13" s="39">
        <v>11.0</v>
      </c>
      <c r="B13" s="39" t="s">
        <v>39</v>
      </c>
      <c r="C13" s="23">
        <f>IFERROR(VLOOKUP(B13,Produtos_Results!$A$2:$E$22,5),"")</f>
        <v>0.8571428571</v>
      </c>
      <c r="D13" s="43" t="str">
        <f>IFERROR(VLOOKUP(B13,Produtos_Results!$A$3:$B$22,2,FALSE),"")</f>
        <v>Gerenciador de Chamadas</v>
      </c>
      <c r="E13" s="20" t="s">
        <v>149</v>
      </c>
      <c r="F13" s="7" t="s">
        <v>47</v>
      </c>
      <c r="G13" s="20"/>
    </row>
    <row r="14">
      <c r="A14" s="45">
        <v>12.0</v>
      </c>
      <c r="B14" s="45" t="s">
        <v>39</v>
      </c>
      <c r="C14" s="23">
        <f>IFERROR(VLOOKUP(B14,Produtos_Results!$A$2:$E$22,5),"")</f>
        <v>0.8571428571</v>
      </c>
      <c r="D14" s="43" t="str">
        <f>IFERROR(VLOOKUP(B14,Produtos_Results!$A$3:$B$22,2,FALSE),"")</f>
        <v>Gerenciador de Chamadas</v>
      </c>
      <c r="E14" s="24" t="s">
        <v>153</v>
      </c>
      <c r="F14" s="46" t="s">
        <v>47</v>
      </c>
      <c r="G14" s="26"/>
    </row>
    <row r="15">
      <c r="A15" s="39">
        <v>13.0</v>
      </c>
      <c r="B15" s="39" t="s">
        <v>39</v>
      </c>
      <c r="C15" s="23">
        <f>IFERROR(VLOOKUP(B15,Produtos_Results!$A$2:$E$22,5),"")</f>
        <v>0.8571428571</v>
      </c>
      <c r="D15" s="43" t="str">
        <f>IFERROR(VLOOKUP(B15,Produtos_Results!$A$3:$B$22,2,FALSE),"")</f>
        <v>Gerenciador de Chamadas</v>
      </c>
      <c r="E15" s="20" t="s">
        <v>154</v>
      </c>
      <c r="F15" s="7" t="s">
        <v>47</v>
      </c>
      <c r="G15" s="25"/>
    </row>
    <row r="16">
      <c r="A16" s="45">
        <v>14.0</v>
      </c>
      <c r="B16" s="45" t="s">
        <v>39</v>
      </c>
      <c r="C16" s="23">
        <f>IFERROR(VLOOKUP(B16,Produtos_Results!$A$2:$E$22,5),"")</f>
        <v>0.8571428571</v>
      </c>
      <c r="D16" s="43" t="str">
        <f>IFERROR(VLOOKUP(B16,Produtos_Results!$A$3:$B$22,2,FALSE),"")</f>
        <v>Gerenciador de Chamadas</v>
      </c>
      <c r="E16" s="24" t="s">
        <v>155</v>
      </c>
      <c r="F16" s="46" t="s">
        <v>47</v>
      </c>
      <c r="G16" s="26"/>
    </row>
    <row r="17">
      <c r="A17" s="39">
        <v>15.0</v>
      </c>
      <c r="B17" s="39" t="s">
        <v>39</v>
      </c>
      <c r="C17" s="23">
        <f>IFERROR(VLOOKUP(B17,Produtos_Results!$A$2:$E$22,5),"")</f>
        <v>0.8571428571</v>
      </c>
      <c r="D17" s="43" t="str">
        <f>IFERROR(VLOOKUP(B17,Produtos_Results!$A$3:$B$22,2,FALSE),"")</f>
        <v>Gerenciador de Chamadas</v>
      </c>
      <c r="E17" s="20" t="s">
        <v>156</v>
      </c>
      <c r="F17" s="7" t="s">
        <v>47</v>
      </c>
      <c r="G17" s="25"/>
    </row>
    <row r="18">
      <c r="A18" s="45">
        <v>16.0</v>
      </c>
      <c r="B18" s="45" t="s">
        <v>39</v>
      </c>
      <c r="C18" s="23">
        <f>IFERROR(VLOOKUP(B18,Produtos_Results!$A$2:$E$22,5),"")</f>
        <v>0.8571428571</v>
      </c>
      <c r="D18" s="43" t="str">
        <f>IFERROR(VLOOKUP(B18,Produtos_Results!$A$3:$B$22,2,FALSE),"")</f>
        <v>Gerenciador de Chamadas</v>
      </c>
      <c r="E18" s="24" t="s">
        <v>157</v>
      </c>
      <c r="F18" s="46" t="s">
        <v>50</v>
      </c>
      <c r="G18" s="26"/>
    </row>
    <row r="19">
      <c r="A19" s="39">
        <v>17.0</v>
      </c>
      <c r="B19" s="39" t="s">
        <v>39</v>
      </c>
      <c r="C19" s="23">
        <f>IFERROR(VLOOKUP(B19,Produtos_Results!$A$2:$E$22,5),"")</f>
        <v>0.8571428571</v>
      </c>
      <c r="D19" s="43" t="str">
        <f>IFERROR(VLOOKUP(B19,Produtos_Results!$A$3:$B$22,2,FALSE),"")</f>
        <v>Gerenciador de Chamadas</v>
      </c>
      <c r="E19" s="20" t="s">
        <v>158</v>
      </c>
      <c r="F19" s="7" t="s">
        <v>50</v>
      </c>
      <c r="G19" s="25"/>
    </row>
    <row r="20">
      <c r="A20" s="45">
        <v>18.0</v>
      </c>
      <c r="B20" s="45" t="s">
        <v>39</v>
      </c>
      <c r="C20" s="23">
        <f>IFERROR(VLOOKUP(B20,Produtos_Results!$A$2:$E$22,5),"")</f>
        <v>0.8571428571</v>
      </c>
      <c r="D20" s="43" t="str">
        <f>IFERROR(VLOOKUP(B20,Produtos_Results!$A$3:$B$22,2,FALSE),"")</f>
        <v>Gerenciador de Chamadas</v>
      </c>
      <c r="E20" s="24" t="s">
        <v>159</v>
      </c>
      <c r="F20" s="46" t="s">
        <v>47</v>
      </c>
      <c r="G20" s="26"/>
    </row>
    <row r="21">
      <c r="A21" s="39">
        <v>19.0</v>
      </c>
      <c r="B21" s="39" t="s">
        <v>67</v>
      </c>
      <c r="C21" s="23">
        <f>IFERROR(VLOOKUP(B21,Produtos_Results!$A$2:$E$22,5),"")</f>
        <v>0.8571428571</v>
      </c>
      <c r="D21" s="43" t="str">
        <f>IFERROR(VLOOKUP(B21,Produtos_Results!$A$3:$B$22,2,FALSE),"")</f>
        <v>Gerenciador de Falhas</v>
      </c>
      <c r="E21" s="20" t="s">
        <v>160</v>
      </c>
      <c r="F21" s="7" t="s">
        <v>47</v>
      </c>
      <c r="G21" s="25"/>
    </row>
    <row r="22">
      <c r="A22" s="45">
        <v>20.0</v>
      </c>
      <c r="B22" s="45" t="s">
        <v>67</v>
      </c>
      <c r="C22" s="23">
        <f>IFERROR(VLOOKUP(B22,Produtos_Results!$A$2:$E$22,5),"")</f>
        <v>0.8571428571</v>
      </c>
      <c r="D22" s="43" t="str">
        <f>IFERROR(VLOOKUP(B22,Produtos_Results!$A$3:$B$22,2,FALSE),"")</f>
        <v>Gerenciador de Falhas</v>
      </c>
      <c r="E22" s="24" t="s">
        <v>161</v>
      </c>
      <c r="F22" s="46" t="s">
        <v>47</v>
      </c>
      <c r="G22" s="26"/>
    </row>
    <row r="23">
      <c r="A23" s="39">
        <v>21.0</v>
      </c>
      <c r="B23" s="39" t="s">
        <v>67</v>
      </c>
      <c r="C23" s="23">
        <f>IFERROR(VLOOKUP(B23,Produtos_Results!$A$2:$E$22,5),"")</f>
        <v>0.8571428571</v>
      </c>
      <c r="D23" s="43" t="str">
        <f>IFERROR(VLOOKUP(B23,Produtos_Results!$A$3:$B$22,2,FALSE),"")</f>
        <v>Gerenciador de Falhas</v>
      </c>
      <c r="E23" s="20" t="s">
        <v>162</v>
      </c>
      <c r="F23" s="7" t="s">
        <v>47</v>
      </c>
      <c r="G23" s="25"/>
    </row>
    <row r="24">
      <c r="A24" s="45">
        <v>22.0</v>
      </c>
      <c r="B24" s="45" t="s">
        <v>67</v>
      </c>
      <c r="C24" s="23">
        <f>IFERROR(VLOOKUP(B24,Produtos_Results!$A$2:$E$22,5),"")</f>
        <v>0.8571428571</v>
      </c>
      <c r="D24" s="43" t="str">
        <f>IFERROR(VLOOKUP(B24,Produtos_Results!$A$3:$B$22,2,FALSE),"")</f>
        <v>Gerenciador de Falhas</v>
      </c>
      <c r="E24" s="24" t="s">
        <v>163</v>
      </c>
      <c r="F24" s="46" t="s">
        <v>47</v>
      </c>
      <c r="G24" s="26"/>
    </row>
    <row r="25">
      <c r="A25" s="39">
        <v>23.0</v>
      </c>
      <c r="B25" s="39" t="s">
        <v>67</v>
      </c>
      <c r="C25" s="23">
        <f>IFERROR(VLOOKUP(B25,Produtos_Results!$A$2:$E$22,5),"")</f>
        <v>0.8571428571</v>
      </c>
      <c r="D25" s="43" t="str">
        <f>IFERROR(VLOOKUP(B25,Produtos_Results!$A$3:$B$22,2,FALSE),"")</f>
        <v>Gerenciador de Falhas</v>
      </c>
      <c r="E25" s="20" t="s">
        <v>164</v>
      </c>
      <c r="F25" s="7" t="s">
        <v>47</v>
      </c>
      <c r="G25" s="25"/>
    </row>
    <row r="26">
      <c r="A26" s="45">
        <v>24.0</v>
      </c>
      <c r="B26" s="45" t="s">
        <v>67</v>
      </c>
      <c r="C26" s="23">
        <f>IFERROR(VLOOKUP(B26,Produtos_Results!$A$2:$E$22,5),"")</f>
        <v>0.8571428571</v>
      </c>
      <c r="D26" s="43" t="str">
        <f>IFERROR(VLOOKUP(B26,Produtos_Results!$A$3:$B$22,2,FALSE),"")</f>
        <v>Gerenciador de Falhas</v>
      </c>
      <c r="E26" s="24" t="s">
        <v>165</v>
      </c>
      <c r="F26" s="46" t="s">
        <v>47</v>
      </c>
      <c r="G26" s="26"/>
    </row>
    <row r="27">
      <c r="A27" s="39">
        <v>25.0</v>
      </c>
      <c r="B27" s="39" t="s">
        <v>67</v>
      </c>
      <c r="C27" s="23">
        <f>IFERROR(VLOOKUP(B27,Produtos_Results!$A$2:$E$22,5),"")</f>
        <v>0.8571428571</v>
      </c>
      <c r="D27" s="43" t="str">
        <f>IFERROR(VLOOKUP(B27,Produtos_Results!$A$3:$B$22,2,FALSE),"")</f>
        <v>Gerenciador de Falhas</v>
      </c>
      <c r="E27" s="20" t="s">
        <v>166</v>
      </c>
      <c r="F27" s="7" t="s">
        <v>50</v>
      </c>
      <c r="G27" s="25"/>
    </row>
    <row r="28">
      <c r="A28" s="45">
        <v>26.0</v>
      </c>
      <c r="B28" s="45" t="s">
        <v>68</v>
      </c>
      <c r="C28" s="23">
        <f>IFERROR(VLOOKUP(B28,Produtos_Results!$A$2:$E$22,5),"")</f>
        <v>0.25</v>
      </c>
      <c r="D28" s="43" t="str">
        <f>IFERROR(VLOOKUP(B28,Produtos_Results!$A$3:$B$22,2,FALSE),"")</f>
        <v>Gerenciador de Periféricos</v>
      </c>
      <c r="E28" s="24" t="s">
        <v>168</v>
      </c>
      <c r="F28" s="46" t="s">
        <v>50</v>
      </c>
      <c r="G28" s="26"/>
    </row>
    <row r="29">
      <c r="A29" s="39">
        <v>27.0</v>
      </c>
      <c r="B29" s="39" t="s">
        <v>68</v>
      </c>
      <c r="C29" s="23">
        <f>IFERROR(VLOOKUP(B29,Produtos_Results!$A$2:$E$22,5),"")</f>
        <v>0.25</v>
      </c>
      <c r="D29" s="43" t="str">
        <f>IFERROR(VLOOKUP(B29,Produtos_Results!$A$3:$B$22,2,FALSE),"")</f>
        <v>Gerenciador de Periféricos</v>
      </c>
      <c r="E29" s="20" t="s">
        <v>171</v>
      </c>
      <c r="F29" s="7" t="s">
        <v>50</v>
      </c>
      <c r="G29" s="25"/>
    </row>
    <row r="30">
      <c r="A30" s="45">
        <v>28.0</v>
      </c>
      <c r="B30" s="45" t="s">
        <v>68</v>
      </c>
      <c r="C30" s="23">
        <f>IFERROR(VLOOKUP(B30,Produtos_Results!$A$2:$E$22,5),"")</f>
        <v>0.25</v>
      </c>
      <c r="D30" s="43" t="str">
        <f>IFERROR(VLOOKUP(B30,Produtos_Results!$A$3:$B$22,2,FALSE),"")</f>
        <v>Gerenciador de Periféricos</v>
      </c>
      <c r="E30" s="24" t="s">
        <v>172</v>
      </c>
      <c r="F30" s="46" t="s">
        <v>47</v>
      </c>
      <c r="G30" s="26"/>
    </row>
    <row r="31">
      <c r="A31" s="39">
        <v>29.0</v>
      </c>
      <c r="B31" s="39" t="s">
        <v>68</v>
      </c>
      <c r="C31" s="23">
        <f>IFERROR(VLOOKUP(B31,Produtos_Results!$A$2:$E$22,5),"")</f>
        <v>0.25</v>
      </c>
      <c r="D31" s="43" t="str">
        <f>IFERROR(VLOOKUP(B31,Produtos_Results!$A$3:$B$22,2,FALSE),"")</f>
        <v>Gerenciador de Periféricos</v>
      </c>
      <c r="E31" s="20" t="s">
        <v>173</v>
      </c>
      <c r="F31" s="7" t="s">
        <v>47</v>
      </c>
      <c r="G31" s="25"/>
    </row>
    <row r="32">
      <c r="A32" s="45">
        <v>30.0</v>
      </c>
      <c r="B32" s="45" t="s">
        <v>68</v>
      </c>
      <c r="C32" s="23">
        <f>IFERROR(VLOOKUP(B32,Produtos_Results!$A$2:$E$22,5),"")</f>
        <v>0.25</v>
      </c>
      <c r="D32" s="43" t="str">
        <f>IFERROR(VLOOKUP(B32,Produtos_Results!$A$3:$B$22,2,FALSE),"")</f>
        <v>Gerenciador de Periféricos</v>
      </c>
      <c r="E32" s="24" t="s">
        <v>174</v>
      </c>
      <c r="F32" s="46" t="s">
        <v>175</v>
      </c>
      <c r="G32" s="26"/>
    </row>
    <row r="33">
      <c r="A33" s="39">
        <v>31.0</v>
      </c>
      <c r="B33" s="39" t="s">
        <v>68</v>
      </c>
      <c r="C33" s="23">
        <f>IFERROR(VLOOKUP(B33,Produtos_Results!$A$2:$E$22,5),"")</f>
        <v>0.25</v>
      </c>
      <c r="D33" s="43" t="str">
        <f>IFERROR(VLOOKUP(B33,Produtos_Results!$A$3:$B$22,2,FALSE),"")</f>
        <v>Gerenciador de Periféricos</v>
      </c>
      <c r="E33" s="20" t="s">
        <v>176</v>
      </c>
      <c r="F33" s="7" t="s">
        <v>175</v>
      </c>
      <c r="G33" s="25"/>
    </row>
    <row r="34">
      <c r="A34" s="45">
        <v>32.0</v>
      </c>
      <c r="B34" s="45" t="s">
        <v>68</v>
      </c>
      <c r="C34" s="23">
        <f>IFERROR(VLOOKUP(B34,Produtos_Results!$A$2:$E$22,5),"")</f>
        <v>0.25</v>
      </c>
      <c r="D34" s="43" t="str">
        <f>IFERROR(VLOOKUP(B34,Produtos_Results!$A$3:$B$22,2,FALSE),"")</f>
        <v>Gerenciador de Periféricos</v>
      </c>
      <c r="E34" s="24" t="s">
        <v>177</v>
      </c>
      <c r="F34" s="46" t="s">
        <v>50</v>
      </c>
      <c r="G34" s="26"/>
    </row>
    <row r="35">
      <c r="A35" s="39">
        <v>33.0</v>
      </c>
      <c r="B35" s="39" t="s">
        <v>68</v>
      </c>
      <c r="C35" s="23">
        <f>IFERROR(VLOOKUP(B35,Produtos_Results!$A$2:$E$22,5),"")</f>
        <v>0.25</v>
      </c>
      <c r="D35" s="43" t="str">
        <f>IFERROR(VLOOKUP(B35,Produtos_Results!$A$3:$B$22,2,FALSE),"")</f>
        <v>Gerenciador de Periféricos</v>
      </c>
      <c r="E35" s="20" t="s">
        <v>178</v>
      </c>
      <c r="F35" s="7" t="s">
        <v>50</v>
      </c>
      <c r="G35" s="25"/>
    </row>
    <row r="36">
      <c r="A36" s="45">
        <v>34.0</v>
      </c>
      <c r="B36" s="45" t="s">
        <v>93</v>
      </c>
      <c r="C36" s="23">
        <f>IFERROR(VLOOKUP(B36,Produtos_Results!$A$2:$E$22,5),"")</f>
        <v>0</v>
      </c>
      <c r="D36" s="43" t="str">
        <f>IFERROR(VLOOKUP(B36,Produtos_Results!$A$3:$B$22,2,FALSE),"")</f>
        <v>Gerenciador de Impressão</v>
      </c>
      <c r="E36" s="24" t="s">
        <v>180</v>
      </c>
      <c r="F36" s="46" t="s">
        <v>50</v>
      </c>
      <c r="G36" s="26"/>
    </row>
    <row r="37">
      <c r="A37" s="39">
        <v>35.0</v>
      </c>
      <c r="B37" s="39" t="s">
        <v>93</v>
      </c>
      <c r="C37" s="23">
        <f>IFERROR(VLOOKUP(B37,Produtos_Results!$A$2:$E$22,5),"")</f>
        <v>0</v>
      </c>
      <c r="D37" s="43" t="str">
        <f>IFERROR(VLOOKUP(B37,Produtos_Results!$A$3:$B$22,2,FALSE),"")</f>
        <v>Gerenciador de Impressão</v>
      </c>
      <c r="E37" s="20" t="s">
        <v>181</v>
      </c>
      <c r="F37" s="7" t="s">
        <v>50</v>
      </c>
      <c r="G37" s="25"/>
    </row>
    <row r="38">
      <c r="A38" s="45">
        <v>36.0</v>
      </c>
      <c r="B38" s="45" t="s">
        <v>93</v>
      </c>
      <c r="C38" s="23">
        <f>IFERROR(VLOOKUP(B38,Produtos_Results!$A$2:$E$22,5),"")</f>
        <v>0</v>
      </c>
      <c r="D38" s="43" t="str">
        <f>IFERROR(VLOOKUP(B38,Produtos_Results!$A$3:$B$22,2,FALSE),"")</f>
        <v>Gerenciador de Impressão</v>
      </c>
      <c r="E38" s="24" t="s">
        <v>182</v>
      </c>
      <c r="F38" s="46" t="s">
        <v>50</v>
      </c>
      <c r="G38" s="26"/>
    </row>
    <row r="39">
      <c r="A39" s="39">
        <v>37.0</v>
      </c>
      <c r="B39" s="39" t="s">
        <v>93</v>
      </c>
      <c r="C39" s="23">
        <f>IFERROR(VLOOKUP(B39,Produtos_Results!$A$2:$E$22,5),"")</f>
        <v>0</v>
      </c>
      <c r="D39" s="43" t="str">
        <f>IFERROR(VLOOKUP(B39,Produtos_Results!$A$3:$B$22,2,FALSE),"")</f>
        <v>Gerenciador de Impressão</v>
      </c>
      <c r="E39" s="20" t="s">
        <v>183</v>
      </c>
      <c r="F39" s="7" t="s">
        <v>50</v>
      </c>
      <c r="G39" s="25"/>
    </row>
    <row r="40">
      <c r="A40" s="45">
        <v>38.0</v>
      </c>
      <c r="B40" s="45" t="s">
        <v>93</v>
      </c>
      <c r="C40" s="23">
        <f>IFERROR(VLOOKUP(B40,Produtos_Results!$A$2:$E$22,5),"")</f>
        <v>0</v>
      </c>
      <c r="D40" s="43" t="str">
        <f>IFERROR(VLOOKUP(B40,Produtos_Results!$A$3:$B$22,2,FALSE),"")</f>
        <v>Gerenciador de Impressão</v>
      </c>
      <c r="E40" s="24" t="s">
        <v>184</v>
      </c>
      <c r="F40" s="46" t="s">
        <v>50</v>
      </c>
      <c r="G40" s="26"/>
    </row>
    <row r="41">
      <c r="A41" s="39">
        <v>39.0</v>
      </c>
      <c r="B41" s="39" t="s">
        <v>93</v>
      </c>
      <c r="C41" s="23">
        <f>IFERROR(VLOOKUP(B41,Produtos_Results!$A$2:$E$22,5),"")</f>
        <v>0</v>
      </c>
      <c r="D41" s="43" t="str">
        <f>IFERROR(VLOOKUP(B41,Produtos_Results!$A$3:$B$22,2,FALSE),"")</f>
        <v>Gerenciador de Impressão</v>
      </c>
      <c r="E41" s="20" t="s">
        <v>185</v>
      </c>
      <c r="F41" s="7" t="s">
        <v>50</v>
      </c>
      <c r="G41" s="25"/>
    </row>
    <row r="42">
      <c r="A42" s="45">
        <v>40.0</v>
      </c>
      <c r="B42" s="45" t="s">
        <v>86</v>
      </c>
      <c r="C42" s="23">
        <f>IFERROR(VLOOKUP(B42,Produtos_Results!$A$2:$E$22,5),"")</f>
        <v>0.6666666667</v>
      </c>
      <c r="D42" s="43" t="str">
        <f>IFERROR(VLOOKUP(B42,Produtos_Results!$A$3:$B$22,2,FALSE),"")</f>
        <v>Solução de Voice</v>
      </c>
      <c r="E42" s="24" t="s">
        <v>187</v>
      </c>
      <c r="F42" s="46" t="s">
        <v>47</v>
      </c>
      <c r="G42" s="26"/>
    </row>
    <row r="43">
      <c r="A43" s="39">
        <v>41.0</v>
      </c>
      <c r="B43" s="39" t="s">
        <v>86</v>
      </c>
      <c r="C43" s="23">
        <f>IFERROR(VLOOKUP(B43,Produtos_Results!$A$2:$E$22,5),"")</f>
        <v>0.6666666667</v>
      </c>
      <c r="D43" s="43" t="str">
        <f>IFERROR(VLOOKUP(B43,Produtos_Results!$A$3:$B$22,2,FALSE),"")</f>
        <v>Solução de Voice</v>
      </c>
      <c r="E43" s="20" t="s">
        <v>189</v>
      </c>
      <c r="F43" s="7" t="s">
        <v>47</v>
      </c>
      <c r="G43" s="25"/>
    </row>
    <row r="44">
      <c r="A44" s="45">
        <v>42.0</v>
      </c>
      <c r="B44" s="45" t="s">
        <v>86</v>
      </c>
      <c r="C44" s="23">
        <f>IFERROR(VLOOKUP(B44,Produtos_Results!$A$2:$E$22,5),"")</f>
        <v>0.6666666667</v>
      </c>
      <c r="D44" s="43" t="str">
        <f>IFERROR(VLOOKUP(B44,Produtos_Results!$A$3:$B$22,2,FALSE),"")</f>
        <v>Solução de Voice</v>
      </c>
      <c r="E44" s="24" t="s">
        <v>190</v>
      </c>
      <c r="F44" s="46" t="s">
        <v>47</v>
      </c>
      <c r="G44" s="26"/>
    </row>
    <row r="45">
      <c r="A45" s="39">
        <v>43.0</v>
      </c>
      <c r="B45" s="39" t="s">
        <v>86</v>
      </c>
      <c r="C45" s="23">
        <f>IFERROR(VLOOKUP(B45,Produtos_Results!$A$2:$E$22,5),"")</f>
        <v>0.6666666667</v>
      </c>
      <c r="D45" s="43" t="str">
        <f>IFERROR(VLOOKUP(B45,Produtos_Results!$A$3:$B$22,2,FALSE),"")</f>
        <v>Solução de Voice</v>
      </c>
      <c r="E45" s="20" t="s">
        <v>191</v>
      </c>
      <c r="F45" s="7" t="s">
        <v>47</v>
      </c>
      <c r="G45" s="25"/>
    </row>
    <row r="46">
      <c r="A46" s="45">
        <v>44.0</v>
      </c>
      <c r="B46" s="45" t="s">
        <v>86</v>
      </c>
      <c r="C46" s="23">
        <f>IFERROR(VLOOKUP(B46,Produtos_Results!$A$2:$E$22,5),"")</f>
        <v>0.6666666667</v>
      </c>
      <c r="D46" s="43" t="str">
        <f>IFERROR(VLOOKUP(B46,Produtos_Results!$A$3:$B$22,2,FALSE),"")</f>
        <v>Solução de Voice</v>
      </c>
      <c r="E46" s="24" t="s">
        <v>192</v>
      </c>
      <c r="F46" s="46" t="s">
        <v>47</v>
      </c>
      <c r="G46" s="26"/>
    </row>
    <row r="47">
      <c r="A47" s="39">
        <v>45.0</v>
      </c>
      <c r="B47" s="39" t="s">
        <v>86</v>
      </c>
      <c r="C47" s="23">
        <f>IFERROR(VLOOKUP(B47,Produtos_Results!$A$2:$E$22,5),"")</f>
        <v>0.6666666667</v>
      </c>
      <c r="D47" s="43" t="str">
        <f>IFERROR(VLOOKUP(B47,Produtos_Results!$A$3:$B$22,2,FALSE),"")</f>
        <v>Solução de Voice</v>
      </c>
      <c r="E47" s="20" t="s">
        <v>157</v>
      </c>
      <c r="F47" s="7" t="s">
        <v>50</v>
      </c>
      <c r="G47" s="25"/>
    </row>
    <row r="48">
      <c r="A48" s="45">
        <v>46.0</v>
      </c>
      <c r="B48" s="45" t="s">
        <v>86</v>
      </c>
      <c r="C48" s="23">
        <f>IFERROR(VLOOKUP(B48,Produtos_Results!$A$2:$E$22,5),"")</f>
        <v>0.6666666667</v>
      </c>
      <c r="D48" s="43" t="str">
        <f>IFERROR(VLOOKUP(B48,Produtos_Results!$A$3:$B$22,2,FALSE),"")</f>
        <v>Solução de Voice</v>
      </c>
      <c r="E48" s="24" t="s">
        <v>193</v>
      </c>
      <c r="F48" s="46" t="s">
        <v>50</v>
      </c>
      <c r="G48" s="26"/>
    </row>
    <row r="49">
      <c r="A49" s="39">
        <v>47.0</v>
      </c>
      <c r="B49" s="39" t="s">
        <v>86</v>
      </c>
      <c r="C49" s="23">
        <f>IFERROR(VLOOKUP(B49,Produtos_Results!$A$2:$E$22,5),"")</f>
        <v>0.6666666667</v>
      </c>
      <c r="D49" s="43" t="str">
        <f>IFERROR(VLOOKUP(B49,Produtos_Results!$A$3:$B$22,2,FALSE),"")</f>
        <v>Solução de Voice</v>
      </c>
      <c r="E49" s="20" t="s">
        <v>194</v>
      </c>
      <c r="F49" s="7" t="s">
        <v>47</v>
      </c>
      <c r="G49" s="25"/>
    </row>
    <row r="50">
      <c r="A50" s="45">
        <v>48.0</v>
      </c>
      <c r="B50" s="45" t="s">
        <v>86</v>
      </c>
      <c r="C50" s="23">
        <f>IFERROR(VLOOKUP(B50,Produtos_Results!$A$2:$E$22,5),"")</f>
        <v>0.6666666667</v>
      </c>
      <c r="D50" s="43" t="str">
        <f>IFERROR(VLOOKUP(B50,Produtos_Results!$A$3:$B$22,2,FALSE),"")</f>
        <v>Solução de Voice</v>
      </c>
      <c r="E50" s="24" t="s">
        <v>195</v>
      </c>
      <c r="F50" s="46" t="s">
        <v>50</v>
      </c>
      <c r="G50" s="26"/>
    </row>
    <row r="51">
      <c r="A51" s="39">
        <v>49.0</v>
      </c>
      <c r="B51" s="39" t="s">
        <v>83</v>
      </c>
      <c r="C51" s="23">
        <f>IFERROR(VLOOKUP(B51,Produtos_Results!$A$2:$E$22,5),"")</f>
        <v>0.75</v>
      </c>
      <c r="D51" s="43" t="str">
        <f>IFERROR(VLOOKUP(B51,Produtos_Results!$A$3:$B$22,2,FALSE),"")</f>
        <v>Solução de Softphone</v>
      </c>
      <c r="E51" s="20" t="s">
        <v>196</v>
      </c>
      <c r="F51" s="7" t="s">
        <v>47</v>
      </c>
      <c r="G51" s="25"/>
    </row>
    <row r="52">
      <c r="A52" s="45">
        <v>50.0</v>
      </c>
      <c r="B52" s="45" t="s">
        <v>83</v>
      </c>
      <c r="C52" s="23">
        <f>IFERROR(VLOOKUP(B52,Produtos_Results!$A$2:$E$22,5),"")</f>
        <v>0.75</v>
      </c>
      <c r="D52" s="43" t="str">
        <f>IFERROR(VLOOKUP(B52,Produtos_Results!$A$3:$B$22,2,FALSE),"")</f>
        <v>Solução de Softphone</v>
      </c>
      <c r="E52" s="24" t="s">
        <v>197</v>
      </c>
      <c r="F52" s="46" t="s">
        <v>47</v>
      </c>
      <c r="G52" s="26"/>
    </row>
    <row r="53">
      <c r="A53" s="39">
        <v>51.0</v>
      </c>
      <c r="B53" s="39" t="s">
        <v>83</v>
      </c>
      <c r="C53" s="23">
        <f>IFERROR(VLOOKUP(B53,Produtos_Results!$A$2:$E$22,5),"")</f>
        <v>0.75</v>
      </c>
      <c r="D53" s="43" t="str">
        <f>IFERROR(VLOOKUP(B53,Produtos_Results!$A$3:$B$22,2,FALSE),"")</f>
        <v>Solução de Softphone</v>
      </c>
      <c r="E53" s="20" t="s">
        <v>198</v>
      </c>
      <c r="F53" s="7" t="s">
        <v>50</v>
      </c>
      <c r="G53" s="25"/>
    </row>
    <row r="54">
      <c r="A54" s="45">
        <v>52.0</v>
      </c>
      <c r="B54" s="45" t="s">
        <v>83</v>
      </c>
      <c r="C54" s="23">
        <f>IFERROR(VLOOKUP(B54,Produtos_Results!$A$2:$E$22,5),"")</f>
        <v>0.75</v>
      </c>
      <c r="D54" s="43" t="str">
        <f>IFERROR(VLOOKUP(B54,Produtos_Results!$A$3:$B$22,2,FALSE),"")</f>
        <v>Solução de Softphone</v>
      </c>
      <c r="E54" s="24" t="s">
        <v>199</v>
      </c>
      <c r="F54" s="46" t="s">
        <v>47</v>
      </c>
      <c r="G54" s="26"/>
    </row>
    <row r="55">
      <c r="A55" s="39">
        <v>53.0</v>
      </c>
      <c r="B55" s="39" t="s">
        <v>83</v>
      </c>
      <c r="C55" s="23">
        <f>IFERROR(VLOOKUP(B55,Produtos_Results!$A$2:$E$22,5),"")</f>
        <v>0.75</v>
      </c>
      <c r="D55" s="43" t="str">
        <f>IFERROR(VLOOKUP(B55,Produtos_Results!$A$3:$B$22,2,FALSE),"")</f>
        <v>Solução de Softphone</v>
      </c>
      <c r="E55" s="20" t="s">
        <v>202</v>
      </c>
      <c r="F55" s="7" t="s">
        <v>50</v>
      </c>
      <c r="G55" s="25"/>
    </row>
    <row r="56">
      <c r="A56" s="45">
        <v>54.0</v>
      </c>
      <c r="B56" s="45" t="s">
        <v>83</v>
      </c>
      <c r="C56" s="23">
        <f>IFERROR(VLOOKUP(B56,Produtos_Results!$A$2:$E$22,5),"")</f>
        <v>0.75</v>
      </c>
      <c r="D56" s="43" t="str">
        <f>IFERROR(VLOOKUP(B56,Produtos_Results!$A$3:$B$22,2,FALSE),"")</f>
        <v>Solução de Softphone</v>
      </c>
      <c r="E56" s="24" t="s">
        <v>207</v>
      </c>
      <c r="F56" s="46" t="s">
        <v>47</v>
      </c>
      <c r="G56" s="26"/>
    </row>
    <row r="57">
      <c r="A57" s="39">
        <v>55.0</v>
      </c>
      <c r="B57" s="39" t="s">
        <v>83</v>
      </c>
      <c r="C57" s="23">
        <f>IFERROR(VLOOKUP(B57,Produtos_Results!$A$2:$E$22,5),"")</f>
        <v>0.75</v>
      </c>
      <c r="D57" s="43" t="str">
        <f>IFERROR(VLOOKUP(B57,Produtos_Results!$A$3:$B$22,2,FALSE),"")</f>
        <v>Solução de Softphone</v>
      </c>
      <c r="E57" s="20" t="s">
        <v>216</v>
      </c>
      <c r="F57" s="7" t="s">
        <v>47</v>
      </c>
      <c r="G57" s="25"/>
    </row>
    <row r="58">
      <c r="A58" s="45">
        <v>56.0</v>
      </c>
      <c r="B58" s="45" t="s">
        <v>83</v>
      </c>
      <c r="C58" s="23">
        <f>IFERROR(VLOOKUP(B58,Produtos_Results!$A$2:$E$22,5),"")</f>
        <v>0.75</v>
      </c>
      <c r="D58" s="43" t="str">
        <f>IFERROR(VLOOKUP(B58,Produtos_Results!$A$3:$B$22,2,FALSE),"")</f>
        <v>Solução de Softphone</v>
      </c>
      <c r="E58" s="24" t="s">
        <v>226</v>
      </c>
      <c r="F58" s="46" t="s">
        <v>47</v>
      </c>
      <c r="G58" s="26"/>
    </row>
    <row r="59">
      <c r="A59" s="39">
        <v>57.0</v>
      </c>
      <c r="B59" s="39" t="s">
        <v>54</v>
      </c>
      <c r="C59" s="23">
        <f>IFERROR(VLOOKUP(B59,Produtos_Results!$A$2:$E$22,5),"")</f>
        <v>0.5</v>
      </c>
      <c r="D59" s="43" t="str">
        <f>IFERROR(VLOOKUP(B59,Produtos_Results!$A$3:$B$22,2,FALSE),"")</f>
        <v>Solução de Conferencia</v>
      </c>
      <c r="E59" s="20" t="s">
        <v>227</v>
      </c>
      <c r="F59" s="7" t="s">
        <v>50</v>
      </c>
      <c r="G59" s="25"/>
    </row>
    <row r="60">
      <c r="A60" s="45">
        <v>58.0</v>
      </c>
      <c r="B60" s="45" t="s">
        <v>54</v>
      </c>
      <c r="C60" s="23">
        <f>IFERROR(VLOOKUP(B60,Produtos_Results!$A$2:$E$22,5),"")</f>
        <v>0.5</v>
      </c>
      <c r="D60" s="43" t="str">
        <f>IFERROR(VLOOKUP(B60,Produtos_Results!$A$3:$B$22,2,FALSE),"")</f>
        <v>Solução de Conferencia</v>
      </c>
      <c r="E60" s="24" t="s">
        <v>228</v>
      </c>
      <c r="F60" s="46" t="s">
        <v>50</v>
      </c>
      <c r="G60" s="26"/>
    </row>
    <row r="61">
      <c r="A61" s="39">
        <v>59.0</v>
      </c>
      <c r="B61" s="39" t="s">
        <v>54</v>
      </c>
      <c r="C61" s="23">
        <f>IFERROR(VLOOKUP(B61,Produtos_Results!$A$2:$E$22,5),"")</f>
        <v>0.5</v>
      </c>
      <c r="D61" s="43" t="str">
        <f>IFERROR(VLOOKUP(B61,Produtos_Results!$A$3:$B$22,2,FALSE),"")</f>
        <v>Solução de Conferencia</v>
      </c>
      <c r="E61" s="20" t="s">
        <v>229</v>
      </c>
      <c r="F61" s="7" t="s">
        <v>47</v>
      </c>
      <c r="G61" s="25"/>
    </row>
    <row r="62">
      <c r="A62" s="45">
        <v>60.0</v>
      </c>
      <c r="B62" s="45" t="s">
        <v>54</v>
      </c>
      <c r="C62" s="23">
        <f>IFERROR(VLOOKUP(B62,Produtos_Results!$A$2:$E$22,5),"")</f>
        <v>0.5</v>
      </c>
      <c r="D62" s="43" t="str">
        <f>IFERROR(VLOOKUP(B62,Produtos_Results!$A$3:$B$22,2,FALSE),"")</f>
        <v>Solução de Conferencia</v>
      </c>
      <c r="E62" s="24" t="s">
        <v>230</v>
      </c>
      <c r="F62" s="46" t="s">
        <v>47</v>
      </c>
      <c r="G62" s="26"/>
    </row>
    <row r="63">
      <c r="A63" s="39">
        <v>61.0</v>
      </c>
      <c r="B63" s="39" t="s">
        <v>49</v>
      </c>
      <c r="C63" s="23">
        <f>IFERROR(VLOOKUP(B63,Produtos_Results!$A$2:$E$22,5),"")</f>
        <v>0</v>
      </c>
      <c r="D63" s="43" t="str">
        <f>IFERROR(VLOOKUP(B63,Produtos_Results!$A$3:$B$22,2,FALSE),"")</f>
        <v>Integrado de Clouds</v>
      </c>
      <c r="E63" s="20" t="s">
        <v>231</v>
      </c>
      <c r="F63" s="7" t="s">
        <v>50</v>
      </c>
      <c r="G63" s="25"/>
    </row>
    <row r="64">
      <c r="A64" s="45">
        <v>62.0</v>
      </c>
      <c r="B64" s="45" t="s">
        <v>49</v>
      </c>
      <c r="C64" s="23">
        <f>IFERROR(VLOOKUP(B64,Produtos_Results!$A$2:$E$22,5),"")</f>
        <v>0</v>
      </c>
      <c r="D64" s="43" t="str">
        <f>IFERROR(VLOOKUP(B64,Produtos_Results!$A$3:$B$22,2,FALSE),"")</f>
        <v>Integrado de Clouds</v>
      </c>
      <c r="E64" s="24" t="s">
        <v>232</v>
      </c>
      <c r="F64" s="46" t="s">
        <v>50</v>
      </c>
      <c r="G64" s="26"/>
    </row>
    <row r="65">
      <c r="A65" s="39">
        <v>63.0</v>
      </c>
      <c r="B65" s="39" t="s">
        <v>49</v>
      </c>
      <c r="C65" s="23">
        <f>IFERROR(VLOOKUP(B65,Produtos_Results!$A$2:$E$22,5),"")</f>
        <v>0</v>
      </c>
      <c r="D65" s="43" t="str">
        <f>IFERROR(VLOOKUP(B65,Produtos_Results!$A$3:$B$22,2,FALSE),"")</f>
        <v>Integrado de Clouds</v>
      </c>
      <c r="E65" s="20" t="s">
        <v>233</v>
      </c>
      <c r="F65" s="7" t="s">
        <v>50</v>
      </c>
      <c r="G65" s="25"/>
    </row>
    <row r="66">
      <c r="A66" s="45">
        <v>64.0</v>
      </c>
      <c r="B66" s="45" t="s">
        <v>49</v>
      </c>
      <c r="C66" s="23">
        <f>IFERROR(VLOOKUP(B66,Produtos_Results!$A$2:$E$22,5),"")</f>
        <v>0</v>
      </c>
      <c r="D66" s="43" t="str">
        <f>IFERROR(VLOOKUP(B66,Produtos_Results!$A$3:$B$22,2,FALSE),"")</f>
        <v>Integrado de Clouds</v>
      </c>
      <c r="E66" s="24" t="s">
        <v>234</v>
      </c>
      <c r="F66" s="46" t="s">
        <v>50</v>
      </c>
      <c r="G66" s="26"/>
    </row>
    <row r="67">
      <c r="A67" s="39">
        <v>65.0</v>
      </c>
      <c r="B67" s="39" t="s">
        <v>49</v>
      </c>
      <c r="C67" s="23">
        <f>IFERROR(VLOOKUP(B67,Produtos_Results!$A$2:$E$22,5),"")</f>
        <v>0</v>
      </c>
      <c r="D67" s="43" t="str">
        <f>IFERROR(VLOOKUP(B67,Produtos_Results!$A$3:$B$22,2,FALSE),"")</f>
        <v>Integrado de Clouds</v>
      </c>
      <c r="E67" s="20" t="s">
        <v>236</v>
      </c>
      <c r="F67" s="7" t="s">
        <v>50</v>
      </c>
      <c r="G67" s="25"/>
    </row>
    <row r="68">
      <c r="A68" s="45">
        <v>66.0</v>
      </c>
      <c r="B68" s="45" t="s">
        <v>49</v>
      </c>
      <c r="C68" s="23">
        <f>IFERROR(VLOOKUP(B68,Produtos_Results!$A$2:$E$22,5),"")</f>
        <v>0</v>
      </c>
      <c r="D68" s="43" t="str">
        <f>IFERROR(VLOOKUP(B68,Produtos_Results!$A$3:$B$22,2,FALSE),"")</f>
        <v>Integrado de Clouds</v>
      </c>
      <c r="E68" s="24" t="s">
        <v>240</v>
      </c>
      <c r="F68" s="46" t="s">
        <v>50</v>
      </c>
      <c r="G68" s="26"/>
    </row>
    <row r="69">
      <c r="A69" s="39">
        <v>67.0</v>
      </c>
      <c r="B69" s="39" t="s">
        <v>49</v>
      </c>
      <c r="C69" s="23">
        <f>IFERROR(VLOOKUP(B69,Produtos_Results!$A$2:$E$22,5),"")</f>
        <v>0</v>
      </c>
      <c r="D69" s="43" t="str">
        <f>IFERROR(VLOOKUP(B69,Produtos_Results!$A$3:$B$22,2,FALSE),"")</f>
        <v>Integrado de Clouds</v>
      </c>
      <c r="E69" s="20" t="s">
        <v>242</v>
      </c>
      <c r="F69" s="7" t="s">
        <v>50</v>
      </c>
      <c r="G69" s="25"/>
    </row>
    <row r="70">
      <c r="A70" s="45">
        <v>68.0</v>
      </c>
      <c r="B70" s="45" t="s">
        <v>49</v>
      </c>
      <c r="C70" s="23">
        <f>IFERROR(VLOOKUP(B70,Produtos_Results!$A$2:$E$22,5),"")</f>
        <v>0</v>
      </c>
      <c r="D70" s="43" t="str">
        <f>IFERROR(VLOOKUP(B70,Produtos_Results!$A$3:$B$22,2,FALSE),"")</f>
        <v>Integrado de Clouds</v>
      </c>
      <c r="E70" s="24" t="s">
        <v>243</v>
      </c>
      <c r="F70" s="46" t="s">
        <v>50</v>
      </c>
      <c r="G70" s="26"/>
    </row>
    <row r="71">
      <c r="A71" s="39">
        <v>69.0</v>
      </c>
      <c r="B71" s="39" t="s">
        <v>49</v>
      </c>
      <c r="C71" s="23">
        <f>IFERROR(VLOOKUP(B71,Produtos_Results!$A$2:$E$22,5),"")</f>
        <v>0</v>
      </c>
      <c r="D71" s="43" t="str">
        <f>IFERROR(VLOOKUP(B71,Produtos_Results!$A$3:$B$22,2,FALSE),"")</f>
        <v>Integrado de Clouds</v>
      </c>
      <c r="E71" s="20" t="s">
        <v>244</v>
      </c>
      <c r="F71" s="7" t="s">
        <v>50</v>
      </c>
      <c r="G71" s="25"/>
    </row>
    <row r="72">
      <c r="A72" s="45">
        <v>70.0</v>
      </c>
      <c r="B72" s="45" t="s">
        <v>49</v>
      </c>
      <c r="C72" s="23">
        <f>IFERROR(VLOOKUP(B72,Produtos_Results!$A$2:$E$22,5),"")</f>
        <v>0</v>
      </c>
      <c r="D72" s="43" t="str">
        <f>IFERROR(VLOOKUP(B72,Produtos_Results!$A$3:$B$22,2,FALSE),"")</f>
        <v>Integrado de Clouds</v>
      </c>
      <c r="E72" s="24" t="s">
        <v>245</v>
      </c>
      <c r="F72" s="46" t="s">
        <v>50</v>
      </c>
      <c r="G72" s="26"/>
    </row>
    <row r="73">
      <c r="A73" s="39">
        <v>71.0</v>
      </c>
      <c r="B73" s="39" t="s">
        <v>49</v>
      </c>
      <c r="C73" s="23">
        <f>IFERROR(VLOOKUP(B73,Produtos_Results!$A$2:$E$22,5),"")</f>
        <v>0</v>
      </c>
      <c r="D73" s="43" t="str">
        <f>IFERROR(VLOOKUP(B73,Produtos_Results!$A$3:$B$22,2,FALSE),"")</f>
        <v>Integrado de Clouds</v>
      </c>
      <c r="E73" s="20" t="s">
        <v>246</v>
      </c>
      <c r="F73" s="7" t="s">
        <v>50</v>
      </c>
      <c r="G73" s="25"/>
    </row>
    <row r="74">
      <c r="A74" s="45">
        <v>72.0</v>
      </c>
      <c r="B74" s="45" t="s">
        <v>49</v>
      </c>
      <c r="C74" s="23">
        <f>IFERROR(VLOOKUP(B74,Produtos_Results!$A$2:$E$22,5),"")</f>
        <v>0</v>
      </c>
      <c r="D74" s="43" t="str">
        <f>IFERROR(VLOOKUP(B74,Produtos_Results!$A$3:$B$22,2,FALSE),"")</f>
        <v>Integrado de Clouds</v>
      </c>
      <c r="E74" s="24" t="s">
        <v>247</v>
      </c>
      <c r="F74" s="46" t="s">
        <v>50</v>
      </c>
      <c r="G74" s="26"/>
    </row>
    <row r="75">
      <c r="A75" s="39">
        <v>73.0</v>
      </c>
      <c r="B75" s="39" t="s">
        <v>49</v>
      </c>
      <c r="C75" s="23">
        <f>IFERROR(VLOOKUP(B75,Produtos_Results!$A$2:$E$22,5),"")</f>
        <v>0</v>
      </c>
      <c r="D75" s="43" t="str">
        <f>IFERROR(VLOOKUP(B75,Produtos_Results!$A$3:$B$22,2,FALSE),"")</f>
        <v>Integrado de Clouds</v>
      </c>
      <c r="E75" s="20" t="s">
        <v>248</v>
      </c>
      <c r="F75" s="7" t="s">
        <v>50</v>
      </c>
      <c r="G75" s="25"/>
    </row>
    <row r="76">
      <c r="A76" s="45">
        <v>74.0</v>
      </c>
      <c r="B76" s="45" t="s">
        <v>51</v>
      </c>
      <c r="C76" s="23">
        <f>IFERROR(VLOOKUP(B76,Produtos_Results!$A$2:$E$22,5),"")</f>
        <v>0</v>
      </c>
      <c r="D76" s="43" t="str">
        <f>IFERROR(VLOOKUP(B76,Produtos_Results!$A$3:$B$22,2,FALSE),"")</f>
        <v>Assistente Virtual</v>
      </c>
      <c r="E76" s="24" t="s">
        <v>249</v>
      </c>
      <c r="F76" s="46" t="s">
        <v>50</v>
      </c>
      <c r="G76" s="26"/>
    </row>
    <row r="77">
      <c r="A77" s="39">
        <v>75.0</v>
      </c>
      <c r="B77" s="39" t="s">
        <v>51</v>
      </c>
      <c r="C77" s="23">
        <f>IFERROR(VLOOKUP(B77,Produtos_Results!$A$2:$E$22,5),"")</f>
        <v>0</v>
      </c>
      <c r="D77" s="43" t="str">
        <f>IFERROR(VLOOKUP(B77,Produtos_Results!$A$3:$B$22,2,FALSE),"")</f>
        <v>Assistente Virtual</v>
      </c>
      <c r="E77" s="20" t="s">
        <v>250</v>
      </c>
      <c r="F77" s="7" t="s">
        <v>47</v>
      </c>
      <c r="G77" s="25"/>
    </row>
    <row r="78">
      <c r="A78" s="45">
        <v>76.0</v>
      </c>
      <c r="B78" s="45" t="s">
        <v>51</v>
      </c>
      <c r="C78" s="23">
        <f>IFERROR(VLOOKUP(B78,Produtos_Results!$A$2:$E$22,5),"")</f>
        <v>0</v>
      </c>
      <c r="D78" s="43" t="str">
        <f>IFERROR(VLOOKUP(B78,Produtos_Results!$A$3:$B$22,2,FALSE),"")</f>
        <v>Assistente Virtual</v>
      </c>
      <c r="E78" s="24" t="s">
        <v>251</v>
      </c>
      <c r="F78" s="46" t="s">
        <v>50</v>
      </c>
      <c r="G78" s="26"/>
    </row>
    <row r="79">
      <c r="A79" s="39">
        <v>77.0</v>
      </c>
      <c r="B79" s="39" t="s">
        <v>51</v>
      </c>
      <c r="C79" s="23">
        <f>IFERROR(VLOOKUP(B79,Produtos_Results!$A$2:$E$22,5),"")</f>
        <v>0</v>
      </c>
      <c r="D79" s="43" t="str">
        <f>IFERROR(VLOOKUP(B79,Produtos_Results!$A$3:$B$22,2,FALSE),"")</f>
        <v>Assistente Virtual</v>
      </c>
      <c r="E79" s="20" t="s">
        <v>257</v>
      </c>
      <c r="F79" s="7" t="s">
        <v>50</v>
      </c>
      <c r="G79" s="25"/>
    </row>
    <row r="80">
      <c r="A80" s="45">
        <v>78.0</v>
      </c>
      <c r="B80" s="45" t="s">
        <v>51</v>
      </c>
      <c r="C80" s="23">
        <f>IFERROR(VLOOKUP(B80,Produtos_Results!$A$2:$E$22,5),"")</f>
        <v>0</v>
      </c>
      <c r="D80" s="43" t="str">
        <f>IFERROR(VLOOKUP(B80,Produtos_Results!$A$3:$B$22,2,FALSE),"")</f>
        <v>Assistente Virtual</v>
      </c>
      <c r="E80" s="24" t="s">
        <v>264</v>
      </c>
      <c r="F80" s="46" t="s">
        <v>50</v>
      </c>
      <c r="G80" s="26"/>
    </row>
    <row r="81">
      <c r="A81" s="39">
        <v>79.0</v>
      </c>
      <c r="B81" s="39" t="s">
        <v>51</v>
      </c>
      <c r="C81" s="23">
        <f>IFERROR(VLOOKUP(B81,Produtos_Results!$A$2:$E$22,5),"")</f>
        <v>0</v>
      </c>
      <c r="D81" s="43" t="str">
        <f>IFERROR(VLOOKUP(B81,Produtos_Results!$A$3:$B$22,2,FALSE),"")</f>
        <v>Assistente Virtual</v>
      </c>
      <c r="E81" s="20" t="s">
        <v>268</v>
      </c>
      <c r="F81" s="7" t="s">
        <v>50</v>
      </c>
      <c r="G81" s="25"/>
    </row>
    <row r="82">
      <c r="A82" s="45">
        <v>80.0</v>
      </c>
      <c r="B82" s="45" t="s">
        <v>51</v>
      </c>
      <c r="C82" s="23">
        <f>IFERROR(VLOOKUP(B82,Produtos_Results!$A$2:$E$22,5),"")</f>
        <v>0</v>
      </c>
      <c r="D82" s="43" t="str">
        <f>IFERROR(VLOOKUP(B82,Produtos_Results!$A$3:$B$22,2,FALSE),"")</f>
        <v>Assistente Virtual</v>
      </c>
      <c r="E82" s="24" t="s">
        <v>269</v>
      </c>
      <c r="F82" s="46" t="s">
        <v>50</v>
      </c>
      <c r="G82" s="26"/>
    </row>
    <row r="83">
      <c r="A83" s="39">
        <v>81.0</v>
      </c>
      <c r="B83" s="39" t="s">
        <v>51</v>
      </c>
      <c r="C83" s="23">
        <f>IFERROR(VLOOKUP(B83,Produtos_Results!$A$2:$E$22,5),"")</f>
        <v>0</v>
      </c>
      <c r="D83" s="43" t="str">
        <f>IFERROR(VLOOKUP(B83,Produtos_Results!$A$3:$B$22,2,FALSE),"")</f>
        <v>Assistente Virtual</v>
      </c>
      <c r="E83" s="20" t="s">
        <v>270</v>
      </c>
      <c r="F83" s="7" t="s">
        <v>50</v>
      </c>
      <c r="G83" s="25"/>
    </row>
    <row r="84">
      <c r="A84" s="45">
        <v>82.0</v>
      </c>
      <c r="B84" s="45" t="s">
        <v>51</v>
      </c>
      <c r="C84" s="23">
        <f>IFERROR(VLOOKUP(B84,Produtos_Results!$A$2:$E$22,5),"")</f>
        <v>0</v>
      </c>
      <c r="D84" s="43" t="str">
        <f>IFERROR(VLOOKUP(B84,Produtos_Results!$A$3:$B$22,2,FALSE),"")</f>
        <v>Assistente Virtual</v>
      </c>
      <c r="E84" s="24" t="s">
        <v>271</v>
      </c>
      <c r="F84" s="46" t="s">
        <v>50</v>
      </c>
      <c r="G84" s="26"/>
    </row>
    <row r="85">
      <c r="A85" s="39">
        <v>83.0</v>
      </c>
      <c r="B85" s="39" t="s">
        <v>51</v>
      </c>
      <c r="C85" s="23">
        <f>IFERROR(VLOOKUP(B85,Produtos_Results!$A$2:$E$22,5),"")</f>
        <v>0</v>
      </c>
      <c r="D85" s="43" t="str">
        <f>IFERROR(VLOOKUP(B85,Produtos_Results!$A$3:$B$22,2,FALSE),"")</f>
        <v>Assistente Virtual</v>
      </c>
      <c r="E85" s="20" t="s">
        <v>272</v>
      </c>
      <c r="F85" s="7" t="s">
        <v>50</v>
      </c>
      <c r="G85" s="25"/>
    </row>
    <row r="86">
      <c r="A86" s="45">
        <v>84.0</v>
      </c>
      <c r="B86" s="45" t="s">
        <v>51</v>
      </c>
      <c r="C86" s="23">
        <f>IFERROR(VLOOKUP(B86,Produtos_Results!$A$2:$E$22,5),"")</f>
        <v>0</v>
      </c>
      <c r="D86" s="43" t="str">
        <f>IFERROR(VLOOKUP(B86,Produtos_Results!$A$3:$B$22,2,FALSE),"")</f>
        <v>Assistente Virtual</v>
      </c>
      <c r="E86" s="24" t="s">
        <v>273</v>
      </c>
      <c r="F86" s="46" t="s">
        <v>50</v>
      </c>
      <c r="G86" s="26"/>
    </row>
    <row r="87">
      <c r="A87" s="39">
        <v>85.0</v>
      </c>
      <c r="B87" s="39" t="s">
        <v>51</v>
      </c>
      <c r="C87" s="23">
        <f>IFERROR(VLOOKUP(B87,Produtos_Results!$A$2:$E$22,5),"")</f>
        <v>0</v>
      </c>
      <c r="D87" s="43" t="str">
        <f>IFERROR(VLOOKUP(B87,Produtos_Results!$A$3:$B$22,2,FALSE),"")</f>
        <v>Assistente Virtual</v>
      </c>
      <c r="E87" s="20" t="s">
        <v>274</v>
      </c>
      <c r="F87" s="7" t="s">
        <v>50</v>
      </c>
      <c r="G87" s="25"/>
    </row>
    <row r="88">
      <c r="A88" s="45">
        <v>86.0</v>
      </c>
      <c r="B88" s="45" t="s">
        <v>51</v>
      </c>
      <c r="C88" s="23">
        <f>IFERROR(VLOOKUP(B88,Produtos_Results!$A$2:$E$22,5),"")</f>
        <v>0</v>
      </c>
      <c r="D88" s="43" t="str">
        <f>IFERROR(VLOOKUP(B88,Produtos_Results!$A$3:$B$22,2,FALSE),"")</f>
        <v>Assistente Virtual</v>
      </c>
      <c r="E88" s="24" t="s">
        <v>275</v>
      </c>
      <c r="F88" s="46" t="s">
        <v>50</v>
      </c>
      <c r="G88" s="26"/>
    </row>
    <row r="89">
      <c r="A89" s="39">
        <v>87.0</v>
      </c>
      <c r="B89" s="39" t="s">
        <v>59</v>
      </c>
      <c r="C89" s="23">
        <f>IFERROR(VLOOKUP(B89,Produtos_Results!$A$2:$E$22,5),"")</f>
        <v>0</v>
      </c>
      <c r="D89" s="43" t="str">
        <f>IFERROR(VLOOKUP(B89,Produtos_Results!$A$3:$B$22,2,FALSE),"")</f>
        <v>Plataforma de Business Intelligence</v>
      </c>
      <c r="E89" s="20" t="s">
        <v>276</v>
      </c>
      <c r="F89" s="7" t="s">
        <v>50</v>
      </c>
      <c r="G89" s="25"/>
    </row>
    <row r="90">
      <c r="A90" s="45">
        <v>88.0</v>
      </c>
      <c r="B90" s="45" t="s">
        <v>59</v>
      </c>
      <c r="C90" s="23">
        <f>IFERROR(VLOOKUP(B90,Produtos_Results!$A$2:$E$22,5),"")</f>
        <v>0</v>
      </c>
      <c r="D90" s="43" t="str">
        <f>IFERROR(VLOOKUP(B90,Produtos_Results!$A$3:$B$22,2,FALSE),"")</f>
        <v>Plataforma de Business Intelligence</v>
      </c>
      <c r="E90" s="24" t="s">
        <v>278</v>
      </c>
      <c r="F90" s="46" t="s">
        <v>50</v>
      </c>
      <c r="G90" s="26"/>
    </row>
    <row r="91">
      <c r="A91" s="39">
        <v>89.0</v>
      </c>
      <c r="B91" s="39" t="s">
        <v>59</v>
      </c>
      <c r="C91" s="23">
        <f>IFERROR(VLOOKUP(B91,Produtos_Results!$A$2:$E$22,5),"")</f>
        <v>0</v>
      </c>
      <c r="D91" s="43" t="str">
        <f>IFERROR(VLOOKUP(B91,Produtos_Results!$A$3:$B$22,2,FALSE),"")</f>
        <v>Plataforma de Business Intelligence</v>
      </c>
      <c r="E91" s="20" t="s">
        <v>283</v>
      </c>
      <c r="F91" s="7" t="s">
        <v>50</v>
      </c>
      <c r="G91" s="25"/>
    </row>
    <row r="92">
      <c r="A92" s="45">
        <v>90.0</v>
      </c>
      <c r="B92" s="45" t="s">
        <v>59</v>
      </c>
      <c r="C92" s="23">
        <f>IFERROR(VLOOKUP(B92,Produtos_Results!$A$2:$E$22,5),"")</f>
        <v>0</v>
      </c>
      <c r="D92" s="43" t="str">
        <f>IFERROR(VLOOKUP(B92,Produtos_Results!$A$3:$B$22,2,FALSE),"")</f>
        <v>Plataforma de Business Intelligence</v>
      </c>
      <c r="E92" s="24" t="s">
        <v>290</v>
      </c>
      <c r="F92" s="46" t="s">
        <v>50</v>
      </c>
      <c r="G92" s="26"/>
    </row>
    <row r="93">
      <c r="A93" s="39">
        <v>91.0</v>
      </c>
      <c r="B93" s="39" t="s">
        <v>59</v>
      </c>
      <c r="C93" s="23">
        <f>IFERROR(VLOOKUP(B93,Produtos_Results!$A$2:$E$22,5),"")</f>
        <v>0</v>
      </c>
      <c r="D93" s="43" t="str">
        <f>IFERROR(VLOOKUP(B93,Produtos_Results!$A$3:$B$22,2,FALSE),"")</f>
        <v>Plataforma de Business Intelligence</v>
      </c>
      <c r="E93" s="20" t="s">
        <v>292</v>
      </c>
      <c r="F93" s="7" t="s">
        <v>50</v>
      </c>
      <c r="G93" s="25"/>
    </row>
    <row r="94">
      <c r="A94" s="45">
        <v>92.0</v>
      </c>
      <c r="B94" s="45" t="s">
        <v>56</v>
      </c>
      <c r="C94" s="23">
        <f>IFERROR(VLOOKUP(B94,Produtos_Results!$A$2:$E$22,5),"")</f>
        <v>0</v>
      </c>
      <c r="D94" s="43" t="str">
        <f>IFERROR(VLOOKUP(B94,Produtos_Results!$A$3:$B$22,2,FALSE),"")</f>
        <v>Solução de Service Desk</v>
      </c>
      <c r="E94" s="24" t="s">
        <v>293</v>
      </c>
      <c r="F94" s="46" t="s">
        <v>50</v>
      </c>
      <c r="G94" s="26"/>
    </row>
    <row r="95">
      <c r="A95" s="39">
        <v>93.0</v>
      </c>
      <c r="B95" s="39" t="s">
        <v>56</v>
      </c>
      <c r="C95" s="23">
        <f>IFERROR(VLOOKUP(B95,Produtos_Results!$A$2:$E$22,5),"")</f>
        <v>0</v>
      </c>
      <c r="D95" s="43" t="str">
        <f>IFERROR(VLOOKUP(B95,Produtos_Results!$A$3:$B$22,2,FALSE),"")</f>
        <v>Solução de Service Desk</v>
      </c>
      <c r="E95" s="20" t="s">
        <v>294</v>
      </c>
      <c r="F95" s="7" t="s">
        <v>50</v>
      </c>
      <c r="G95" s="25"/>
    </row>
    <row r="96">
      <c r="A96" s="45">
        <v>94.0</v>
      </c>
      <c r="B96" s="45" t="s">
        <v>56</v>
      </c>
      <c r="C96" s="23">
        <f>IFERROR(VLOOKUP(B96,Produtos_Results!$A$2:$E$22,5),"")</f>
        <v>0</v>
      </c>
      <c r="D96" s="43" t="str">
        <f>IFERROR(VLOOKUP(B96,Produtos_Results!$A$3:$B$22,2,FALSE),"")</f>
        <v>Solução de Service Desk</v>
      </c>
      <c r="E96" s="24" t="s">
        <v>295</v>
      </c>
      <c r="F96" s="46" t="s">
        <v>50</v>
      </c>
      <c r="G96" s="26"/>
    </row>
    <row r="97">
      <c r="A97" s="39">
        <v>95.0</v>
      </c>
      <c r="B97" s="39" t="s">
        <v>56</v>
      </c>
      <c r="C97" s="23">
        <f>IFERROR(VLOOKUP(B97,Produtos_Results!$A$2:$E$22,5),"")</f>
        <v>0</v>
      </c>
      <c r="D97" s="43" t="str">
        <f>IFERROR(VLOOKUP(B97,Produtos_Results!$A$3:$B$22,2,FALSE),"")</f>
        <v>Solução de Service Desk</v>
      </c>
      <c r="E97" s="20" t="s">
        <v>296</v>
      </c>
      <c r="F97" s="7" t="s">
        <v>50</v>
      </c>
      <c r="G97" s="25"/>
    </row>
    <row r="98">
      <c r="A98" s="45">
        <v>96.0</v>
      </c>
      <c r="B98" s="45" t="s">
        <v>56</v>
      </c>
      <c r="C98" s="23">
        <f>IFERROR(VLOOKUP(B98,Produtos_Results!$A$2:$E$22,5),"")</f>
        <v>0</v>
      </c>
      <c r="D98" s="43" t="str">
        <f>IFERROR(VLOOKUP(B98,Produtos_Results!$A$3:$B$22,2,FALSE),"")</f>
        <v>Solução de Service Desk</v>
      </c>
      <c r="E98" s="24" t="s">
        <v>297</v>
      </c>
      <c r="F98" s="46" t="s">
        <v>50</v>
      </c>
      <c r="G98" s="26"/>
    </row>
    <row r="99">
      <c r="A99" s="39">
        <v>97.0</v>
      </c>
      <c r="B99" s="39" t="s">
        <v>56</v>
      </c>
      <c r="C99" s="23">
        <f>IFERROR(VLOOKUP(B99,Produtos_Results!$A$2:$E$22,5),"")</f>
        <v>0</v>
      </c>
      <c r="D99" s="43" t="str">
        <f>IFERROR(VLOOKUP(B99,Produtos_Results!$A$3:$B$22,2,FALSE),"")</f>
        <v>Solução de Service Desk</v>
      </c>
      <c r="E99" s="20" t="s">
        <v>157</v>
      </c>
      <c r="F99" s="7" t="s">
        <v>50</v>
      </c>
      <c r="G99" s="25"/>
    </row>
    <row r="100">
      <c r="A100" s="45">
        <v>98.0</v>
      </c>
      <c r="B100" s="45" t="s">
        <v>56</v>
      </c>
      <c r="C100" s="23">
        <f>IFERROR(VLOOKUP(B100,Produtos_Results!$A$2:$E$22,5),"")</f>
        <v>0</v>
      </c>
      <c r="D100" s="43" t="str">
        <f>IFERROR(VLOOKUP(B100,Produtos_Results!$A$3:$B$22,2,FALSE),"")</f>
        <v>Solução de Service Desk</v>
      </c>
      <c r="E100" s="24" t="s">
        <v>298</v>
      </c>
      <c r="F100" s="46" t="s">
        <v>50</v>
      </c>
      <c r="G100" s="26"/>
    </row>
    <row r="101">
      <c r="A101" s="39">
        <v>99.0</v>
      </c>
      <c r="B101" s="39" t="s">
        <v>56</v>
      </c>
      <c r="C101" s="23">
        <f>IFERROR(VLOOKUP(B101,Produtos_Results!$A$2:$E$22,5),"")</f>
        <v>0</v>
      </c>
      <c r="D101" s="43" t="str">
        <f>IFERROR(VLOOKUP(B101,Produtos_Results!$A$3:$B$22,2,FALSE),"")</f>
        <v>Solução de Service Desk</v>
      </c>
      <c r="E101" s="20" t="s">
        <v>299</v>
      </c>
      <c r="F101" s="7" t="s">
        <v>50</v>
      </c>
      <c r="G101" s="25"/>
    </row>
    <row r="102">
      <c r="A102" s="45">
        <v>100.0</v>
      </c>
      <c r="B102" s="45" t="s">
        <v>56</v>
      </c>
      <c r="C102" s="23">
        <f>IFERROR(VLOOKUP(B102,Produtos_Results!$A$2:$E$22,5),"")</f>
        <v>0</v>
      </c>
      <c r="D102" s="43" t="str">
        <f>IFERROR(VLOOKUP(B102,Produtos_Results!$A$3:$B$22,2,FALSE),"")</f>
        <v>Solução de Service Desk</v>
      </c>
      <c r="E102" s="24" t="s">
        <v>300</v>
      </c>
      <c r="F102" s="46" t="s">
        <v>50</v>
      </c>
      <c r="G102" s="26"/>
    </row>
    <row r="103">
      <c r="A103" s="39">
        <v>101.0</v>
      </c>
      <c r="B103" s="39" t="s">
        <v>56</v>
      </c>
      <c r="C103" s="23">
        <f>IFERROR(VLOOKUP(B103,Produtos_Results!$A$2:$E$22,5),"")</f>
        <v>0</v>
      </c>
      <c r="D103" s="43" t="str">
        <f>IFERROR(VLOOKUP(B103,Produtos_Results!$A$3:$B$22,2,FALSE),"")</f>
        <v>Solução de Service Desk</v>
      </c>
      <c r="E103" s="20" t="s">
        <v>301</v>
      </c>
      <c r="F103" s="7" t="s">
        <v>50</v>
      </c>
      <c r="G103" s="25"/>
    </row>
    <row r="104">
      <c r="A104" s="45">
        <v>102.0</v>
      </c>
      <c r="B104" s="45" t="s">
        <v>56</v>
      </c>
      <c r="C104" s="23">
        <f>IFERROR(VLOOKUP(B104,Produtos_Results!$A$2:$E$22,5),"")</f>
        <v>0</v>
      </c>
      <c r="D104" s="43" t="str">
        <f>IFERROR(VLOOKUP(B104,Produtos_Results!$A$3:$B$22,2,FALSE),"")</f>
        <v>Solução de Service Desk</v>
      </c>
      <c r="E104" s="24" t="s">
        <v>307</v>
      </c>
      <c r="F104" s="46" t="s">
        <v>50</v>
      </c>
      <c r="G104" s="26"/>
    </row>
    <row r="105">
      <c r="A105" s="39">
        <v>103.0</v>
      </c>
      <c r="B105" s="39" t="s">
        <v>56</v>
      </c>
      <c r="C105" s="23">
        <f>IFERROR(VLOOKUP(B105,Produtos_Results!$A$2:$E$22,5),"")</f>
        <v>0</v>
      </c>
      <c r="D105" s="43" t="str">
        <f>IFERROR(VLOOKUP(B105,Produtos_Results!$A$3:$B$22,2,FALSE),"")</f>
        <v>Solução de Service Desk</v>
      </c>
      <c r="E105" s="20" t="s">
        <v>311</v>
      </c>
      <c r="F105" s="7" t="s">
        <v>50</v>
      </c>
      <c r="G105" s="25"/>
    </row>
    <row r="106">
      <c r="A106" s="45">
        <v>104.0</v>
      </c>
      <c r="B106" s="45" t="s">
        <v>56</v>
      </c>
      <c r="C106" s="23">
        <f>IFERROR(VLOOKUP(B106,Produtos_Results!$A$2:$E$22,5),"")</f>
        <v>0</v>
      </c>
      <c r="D106" s="43" t="str">
        <f>IFERROR(VLOOKUP(B106,Produtos_Results!$A$3:$B$22,2,FALSE),"")</f>
        <v>Solução de Service Desk</v>
      </c>
      <c r="E106" s="24" t="s">
        <v>312</v>
      </c>
      <c r="F106" s="46" t="s">
        <v>50</v>
      </c>
      <c r="G106" s="26"/>
    </row>
    <row r="107">
      <c r="A107" s="39">
        <v>105.0</v>
      </c>
      <c r="B107" s="39" t="s">
        <v>56</v>
      </c>
      <c r="C107" s="23">
        <f>IFERROR(VLOOKUP(B107,Produtos_Results!$A$2:$E$22,5),"")</f>
        <v>0</v>
      </c>
      <c r="D107" s="43" t="str">
        <f>IFERROR(VLOOKUP(B107,Produtos_Results!$A$3:$B$22,2,FALSE),"")</f>
        <v>Solução de Service Desk</v>
      </c>
      <c r="E107" s="20" t="s">
        <v>313</v>
      </c>
      <c r="F107" s="7" t="s">
        <v>50</v>
      </c>
      <c r="G107" s="25"/>
    </row>
    <row r="108">
      <c r="A108" s="45">
        <v>106.0</v>
      </c>
      <c r="B108" s="45" t="s">
        <v>56</v>
      </c>
      <c r="C108" s="23">
        <f>IFERROR(VLOOKUP(B108,Produtos_Results!$A$2:$E$22,5),"")</f>
        <v>0</v>
      </c>
      <c r="D108" s="43" t="str">
        <f>IFERROR(VLOOKUP(B108,Produtos_Results!$A$3:$B$22,2,FALSE),"")</f>
        <v>Solução de Service Desk</v>
      </c>
      <c r="E108" s="24" t="s">
        <v>314</v>
      </c>
      <c r="F108" s="46" t="s">
        <v>50</v>
      </c>
      <c r="G108" s="26"/>
    </row>
    <row r="109">
      <c r="A109" s="39">
        <v>107.0</v>
      </c>
      <c r="B109" s="39" t="s">
        <v>56</v>
      </c>
      <c r="C109" s="23">
        <f>IFERROR(VLOOKUP(B109,Produtos_Results!$A$2:$E$22,5),"")</f>
        <v>0</v>
      </c>
      <c r="D109" s="43" t="str">
        <f>IFERROR(VLOOKUP(B109,Produtos_Results!$A$3:$B$22,2,FALSE),"")</f>
        <v>Solução de Service Desk</v>
      </c>
      <c r="E109" s="20" t="s">
        <v>315</v>
      </c>
      <c r="F109" s="7" t="s">
        <v>50</v>
      </c>
      <c r="G109" s="25"/>
    </row>
    <row r="110">
      <c r="A110" s="45">
        <v>108.0</v>
      </c>
      <c r="B110" s="45" t="s">
        <v>78</v>
      </c>
      <c r="C110" s="23">
        <f>IFERROR(VLOOKUP(B110,Produtos_Results!$A$2:$E$22,5),"")</f>
        <v>0</v>
      </c>
      <c r="D110" s="43" t="str">
        <f>IFERROR(VLOOKUP(B110,Produtos_Results!$A$3:$B$22,2,FALSE),"")</f>
        <v>Gerenciador de PDV</v>
      </c>
      <c r="E110" s="24" t="s">
        <v>307</v>
      </c>
      <c r="F110" s="46" t="s">
        <v>50</v>
      </c>
      <c r="G110" s="26"/>
    </row>
    <row r="111">
      <c r="A111" s="39">
        <v>109.0</v>
      </c>
      <c r="B111" s="39" t="s">
        <v>78</v>
      </c>
      <c r="C111" s="23">
        <f>IFERROR(VLOOKUP(B111,Produtos_Results!$A$2:$E$22,5),"")</f>
        <v>0</v>
      </c>
      <c r="D111" s="43" t="str">
        <f>IFERROR(VLOOKUP(B111,Produtos_Results!$A$3:$B$22,2,FALSE),"")</f>
        <v>Gerenciador de PDV</v>
      </c>
      <c r="E111" s="20" t="s">
        <v>315</v>
      </c>
      <c r="F111" s="7" t="s">
        <v>50</v>
      </c>
      <c r="G111" s="25"/>
    </row>
    <row r="112">
      <c r="A112" s="45">
        <v>110.0</v>
      </c>
      <c r="B112" s="45" t="s">
        <v>78</v>
      </c>
      <c r="C112" s="23">
        <f>IFERROR(VLOOKUP(B112,Produtos_Results!$A$2:$E$22,5),"")</f>
        <v>0</v>
      </c>
      <c r="D112" s="43" t="str">
        <f>IFERROR(VLOOKUP(B112,Produtos_Results!$A$3:$B$22,2,FALSE),"")</f>
        <v>Gerenciador de PDV</v>
      </c>
      <c r="E112" s="24" t="s">
        <v>316</v>
      </c>
      <c r="F112" s="46" t="s">
        <v>50</v>
      </c>
      <c r="G112" s="26"/>
    </row>
    <row r="113">
      <c r="A113" s="39">
        <v>111.0</v>
      </c>
      <c r="B113" s="39" t="s">
        <v>78</v>
      </c>
      <c r="C113" s="23">
        <f>IFERROR(VLOOKUP(B113,Produtos_Results!$A$2:$E$22,5),"")</f>
        <v>0</v>
      </c>
      <c r="D113" s="43" t="str">
        <f>IFERROR(VLOOKUP(B113,Produtos_Results!$A$3:$B$22,2,FALSE),"")</f>
        <v>Gerenciador de PDV</v>
      </c>
      <c r="E113" s="20" t="s">
        <v>317</v>
      </c>
      <c r="F113" s="7" t="s">
        <v>50</v>
      </c>
      <c r="G113" s="25"/>
    </row>
    <row r="114">
      <c r="A114" s="45">
        <v>112.0</v>
      </c>
      <c r="B114" s="45" t="s">
        <v>78</v>
      </c>
      <c r="C114" s="23">
        <f>IFERROR(VLOOKUP(B114,Produtos_Results!$A$2:$E$22,5),"")</f>
        <v>0</v>
      </c>
      <c r="D114" s="43" t="str">
        <f>IFERROR(VLOOKUP(B114,Produtos_Results!$A$3:$B$22,2,FALSE),"")</f>
        <v>Gerenciador de PDV</v>
      </c>
      <c r="E114" s="24" t="s">
        <v>318</v>
      </c>
      <c r="F114" s="46" t="s">
        <v>50</v>
      </c>
      <c r="G114" s="26"/>
    </row>
    <row r="115">
      <c r="A115" s="39">
        <v>113.0</v>
      </c>
      <c r="B115" s="39" t="s">
        <v>78</v>
      </c>
      <c r="C115" s="23">
        <f>IFERROR(VLOOKUP(B115,Produtos_Results!$A$2:$E$22,5),"")</f>
        <v>0</v>
      </c>
      <c r="D115" s="43" t="str">
        <f>IFERROR(VLOOKUP(B115,Produtos_Results!$A$3:$B$22,2,FALSE),"")</f>
        <v>Gerenciador de PDV</v>
      </c>
      <c r="E115" s="20" t="s">
        <v>322</v>
      </c>
      <c r="F115" s="7" t="s">
        <v>50</v>
      </c>
      <c r="G115" s="25"/>
    </row>
    <row r="116">
      <c r="A116" s="45">
        <v>114.0</v>
      </c>
      <c r="B116" s="45" t="s">
        <v>78</v>
      </c>
      <c r="C116" s="23">
        <f>IFERROR(VLOOKUP(B116,Produtos_Results!$A$2:$E$22,5),"")</f>
        <v>0</v>
      </c>
      <c r="D116" s="43" t="str">
        <f>IFERROR(VLOOKUP(B116,Produtos_Results!$A$3:$B$22,2,FALSE),"")</f>
        <v>Gerenciador de PDV</v>
      </c>
      <c r="E116" s="24" t="s">
        <v>326</v>
      </c>
      <c r="F116" s="46" t="s">
        <v>50</v>
      </c>
      <c r="G116" s="26"/>
    </row>
    <row r="117">
      <c r="A117" s="39">
        <v>115.0</v>
      </c>
      <c r="B117" s="39" t="s">
        <v>78</v>
      </c>
      <c r="C117" s="23">
        <f>IFERROR(VLOOKUP(B117,Produtos_Results!$A$2:$E$22,5),"")</f>
        <v>0</v>
      </c>
      <c r="D117" s="43" t="str">
        <f>IFERROR(VLOOKUP(B117,Produtos_Results!$A$3:$B$22,2,FALSE),"")</f>
        <v>Gerenciador de PDV</v>
      </c>
      <c r="E117" s="20" t="s">
        <v>298</v>
      </c>
      <c r="F117" s="7" t="s">
        <v>50</v>
      </c>
      <c r="G117" s="25"/>
    </row>
    <row r="118">
      <c r="A118" s="45">
        <v>116.0</v>
      </c>
      <c r="B118" s="45" t="s">
        <v>78</v>
      </c>
      <c r="C118" s="23">
        <f>IFERROR(VLOOKUP(B118,Produtos_Results!$A$2:$E$22,5),"")</f>
        <v>0</v>
      </c>
      <c r="D118" s="43" t="str">
        <f>IFERROR(VLOOKUP(B118,Produtos_Results!$A$3:$B$22,2,FALSE),"")</f>
        <v>Gerenciador de PDV</v>
      </c>
      <c r="E118" s="24" t="s">
        <v>338</v>
      </c>
      <c r="F118" s="46" t="s">
        <v>50</v>
      </c>
      <c r="G118" s="26"/>
    </row>
    <row r="119">
      <c r="A119" s="39">
        <v>117.0</v>
      </c>
      <c r="B119" s="39" t="s">
        <v>78</v>
      </c>
      <c r="C119" s="23">
        <f>IFERROR(VLOOKUP(B119,Produtos_Results!$A$2:$E$22,5),"")</f>
        <v>0</v>
      </c>
      <c r="D119" s="43" t="str">
        <f>IFERROR(VLOOKUP(B119,Produtos_Results!$A$3:$B$22,2,FALSE),"")</f>
        <v>Gerenciador de PDV</v>
      </c>
      <c r="E119" s="20" t="s">
        <v>339</v>
      </c>
      <c r="F119" s="7" t="s">
        <v>50</v>
      </c>
      <c r="G119" s="25"/>
    </row>
    <row r="120">
      <c r="A120" s="45">
        <v>118.0</v>
      </c>
      <c r="B120" s="45" t="s">
        <v>88</v>
      </c>
      <c r="C120" s="23">
        <f>IFERROR(VLOOKUP(B120,Produtos_Results!$A$2:$E$22,5),"")</f>
        <v>0</v>
      </c>
      <c r="D120" s="43" t="str">
        <f>IFERROR(VLOOKUP(B120,Produtos_Results!$A$3:$B$22,2,FALSE),"")</f>
        <v>Plataforma de Inteligencial Artificial</v>
      </c>
      <c r="E120" s="24" t="s">
        <v>340</v>
      </c>
      <c r="F120" s="46" t="s">
        <v>52</v>
      </c>
      <c r="G120" s="26"/>
    </row>
    <row r="121">
      <c r="A121" s="39">
        <v>119.0</v>
      </c>
      <c r="B121" s="39" t="s">
        <v>88</v>
      </c>
      <c r="C121" s="23">
        <f>IFERROR(VLOOKUP(B121,Produtos_Results!$A$2:$E$22,5),"")</f>
        <v>0</v>
      </c>
      <c r="D121" s="43" t="str">
        <f>IFERROR(VLOOKUP(B121,Produtos_Results!$A$3:$B$22,2,FALSE),"")</f>
        <v>Plataforma de Inteligencial Artificial</v>
      </c>
      <c r="E121" s="20" t="s">
        <v>341</v>
      </c>
      <c r="F121" s="7" t="s">
        <v>52</v>
      </c>
      <c r="G121" s="25"/>
    </row>
    <row r="122">
      <c r="A122" s="45">
        <v>120.0</v>
      </c>
      <c r="B122" s="45" t="s">
        <v>88</v>
      </c>
      <c r="C122" s="23">
        <f>IFERROR(VLOOKUP(B122,Produtos_Results!$A$2:$E$22,5),"")</f>
        <v>0</v>
      </c>
      <c r="D122" s="43" t="str">
        <f>IFERROR(VLOOKUP(B122,Produtos_Results!$A$3:$B$22,2,FALSE),"")</f>
        <v>Plataforma de Inteligencial Artificial</v>
      </c>
      <c r="E122" s="24" t="s">
        <v>342</v>
      </c>
      <c r="F122" s="46" t="s">
        <v>52</v>
      </c>
      <c r="G122" s="26"/>
    </row>
    <row r="123">
      <c r="A123" s="39">
        <v>121.0</v>
      </c>
      <c r="B123" s="39" t="s">
        <v>88</v>
      </c>
      <c r="C123" s="23">
        <f>IFERROR(VLOOKUP(B123,Produtos_Results!$A$2:$E$22,5),"")</f>
        <v>0</v>
      </c>
      <c r="D123" s="43" t="str">
        <f>IFERROR(VLOOKUP(B123,Produtos_Results!$A$3:$B$22,2,FALSE),"")</f>
        <v>Plataforma de Inteligencial Artificial</v>
      </c>
      <c r="E123" s="20" t="s">
        <v>343</v>
      </c>
      <c r="F123" s="7" t="s">
        <v>52</v>
      </c>
      <c r="G123" s="25"/>
    </row>
    <row r="124">
      <c r="A124" s="45">
        <v>122.0</v>
      </c>
      <c r="B124" s="45" t="s">
        <v>88</v>
      </c>
      <c r="C124" s="23">
        <f>IFERROR(VLOOKUP(B124,Produtos_Results!$A$2:$E$22,5),"")</f>
        <v>0</v>
      </c>
      <c r="D124" s="43" t="str">
        <f>IFERROR(VLOOKUP(B124,Produtos_Results!$A$3:$B$22,2,FALSE),"")</f>
        <v>Plataforma de Inteligencial Artificial</v>
      </c>
      <c r="E124" s="24" t="s">
        <v>344</v>
      </c>
      <c r="F124" s="46" t="s">
        <v>52</v>
      </c>
      <c r="G124" s="26"/>
    </row>
    <row r="125">
      <c r="A125" s="39">
        <v>123.0</v>
      </c>
      <c r="B125" s="39" t="s">
        <v>88</v>
      </c>
      <c r="C125" s="23">
        <f>IFERROR(VLOOKUP(B125,Produtos_Results!$A$2:$E$22,5),"")</f>
        <v>0</v>
      </c>
      <c r="D125" s="43" t="str">
        <f>IFERROR(VLOOKUP(B125,Produtos_Results!$A$3:$B$22,2,FALSE),"")</f>
        <v>Plataforma de Inteligencial Artificial</v>
      </c>
      <c r="E125" s="20" t="s">
        <v>345</v>
      </c>
      <c r="F125" s="7" t="s">
        <v>52</v>
      </c>
      <c r="G125" s="25"/>
    </row>
    <row r="126">
      <c r="A126" s="45">
        <v>124.0</v>
      </c>
      <c r="B126" s="45"/>
      <c r="C126" s="23" t="str">
        <f>IFERROR(VLOOKUP(B126,Produtos_Results!$A$2:$E$22,5),"")</f>
        <v/>
      </c>
      <c r="D126" s="43" t="str">
        <f>IFERROR(VLOOKUP(B126,Produtos_Results!$A$3:$B$22,2,FALSE),"")</f>
        <v/>
      </c>
      <c r="E126" s="24"/>
      <c r="F126" s="46"/>
      <c r="G126" s="26"/>
    </row>
    <row r="127">
      <c r="A127" s="39">
        <v>125.0</v>
      </c>
      <c r="B127" s="39"/>
      <c r="C127" s="23" t="str">
        <f>IFERROR(VLOOKUP(B127,Produtos_Results!$A$2:$E$22,5),"")</f>
        <v/>
      </c>
      <c r="D127" s="43" t="str">
        <f>IFERROR(VLOOKUP(B127,Produtos_Results!$A$3:$B$22,2,FALSE),"")</f>
        <v/>
      </c>
      <c r="E127" s="20"/>
      <c r="F127" s="7"/>
      <c r="G127" s="25"/>
    </row>
    <row r="128">
      <c r="A128" s="45">
        <v>126.0</v>
      </c>
      <c r="B128" s="45"/>
      <c r="C128" s="23" t="str">
        <f>IFERROR(VLOOKUP(B128,Produtos_Results!$A$2:$E$22,5),"")</f>
        <v/>
      </c>
      <c r="D128" s="43" t="str">
        <f>IFERROR(VLOOKUP(B128,Produtos_Results!$A$3:$B$22,2,FALSE),"")</f>
        <v/>
      </c>
      <c r="E128" s="24"/>
      <c r="F128" s="46"/>
      <c r="G128" s="26"/>
    </row>
    <row r="129">
      <c r="A129" s="39">
        <v>127.0</v>
      </c>
      <c r="B129" s="39"/>
      <c r="C129" s="23" t="str">
        <f>IFERROR(VLOOKUP(B129,Produtos_Results!$A$2:$E$22,5),"")</f>
        <v/>
      </c>
      <c r="D129" s="43" t="str">
        <f>IFERROR(VLOOKUP(B129,Produtos_Results!$A$3:$B$22,2,FALSE),"")</f>
        <v/>
      </c>
      <c r="E129" s="20"/>
      <c r="F129" s="7"/>
      <c r="G129" s="25"/>
    </row>
    <row r="130">
      <c r="A130" s="45">
        <v>128.0</v>
      </c>
      <c r="B130" s="45"/>
      <c r="C130" s="23" t="str">
        <f>IFERROR(VLOOKUP(B130,Produtos_Results!$A$2:$E$22,5),"")</f>
        <v/>
      </c>
      <c r="D130" s="43" t="str">
        <f>IFERROR(VLOOKUP(B130,Produtos_Results!$A$3:$B$22,2,FALSE),"")</f>
        <v/>
      </c>
      <c r="E130" s="24"/>
      <c r="F130" s="46"/>
      <c r="G130" s="26"/>
    </row>
    <row r="131">
      <c r="A131" s="39">
        <v>129.0</v>
      </c>
      <c r="B131" s="39"/>
      <c r="C131" s="23" t="str">
        <f>IFERROR(VLOOKUP(B131,Produtos_Results!$A$2:$E$22,5),"")</f>
        <v/>
      </c>
      <c r="D131" s="43" t="str">
        <f>IFERROR(VLOOKUP(B131,Produtos_Results!$A$3:$B$22,2,FALSE),"")</f>
        <v/>
      </c>
      <c r="E131" s="20"/>
      <c r="F131" s="7"/>
      <c r="G131" s="25"/>
    </row>
    <row r="132">
      <c r="A132" s="45">
        <v>130.0</v>
      </c>
      <c r="B132" s="45"/>
      <c r="C132" s="23" t="str">
        <f>IFERROR(VLOOKUP(B132,Produtos_Results!$A$2:$E$22,5),"")</f>
        <v/>
      </c>
      <c r="D132" s="43" t="str">
        <f>IFERROR(VLOOKUP(B132,Produtos_Results!$A$3:$B$22,2,FALSE),"")</f>
        <v/>
      </c>
      <c r="E132" s="24"/>
      <c r="F132" s="46"/>
      <c r="G132" s="26"/>
    </row>
    <row r="133">
      <c r="A133" s="39">
        <v>131.0</v>
      </c>
      <c r="B133" s="39"/>
      <c r="C133" s="23" t="str">
        <f>IFERROR(VLOOKUP(B133,Produtos_Results!$A$2:$E$22,5),"")</f>
        <v/>
      </c>
      <c r="D133" s="43" t="str">
        <f>IFERROR(VLOOKUP(B133,Produtos_Results!$A$3:$B$22,2,FALSE),"")</f>
        <v/>
      </c>
      <c r="E133" s="20"/>
      <c r="F133" s="7"/>
      <c r="G133" s="25"/>
    </row>
    <row r="134">
      <c r="A134" s="45">
        <v>132.0</v>
      </c>
      <c r="B134" s="45"/>
      <c r="C134" s="23" t="str">
        <f>IFERROR(VLOOKUP(B134,Produtos_Results!$A$2:$E$22,5),"")</f>
        <v/>
      </c>
      <c r="D134" s="43" t="str">
        <f>IFERROR(VLOOKUP(B134,Produtos_Results!$A$3:$B$22,2,FALSE),"")</f>
        <v/>
      </c>
      <c r="E134" s="24"/>
      <c r="F134" s="46"/>
      <c r="G134" s="26"/>
    </row>
    <row r="135">
      <c r="A135" s="39">
        <v>133.0</v>
      </c>
      <c r="B135" s="39"/>
      <c r="C135" s="23" t="str">
        <f>IFERROR(VLOOKUP(B135,Produtos_Results!$A$2:$E$22,5),"")</f>
        <v/>
      </c>
      <c r="D135" s="43" t="str">
        <f>IFERROR(VLOOKUP(B135,Produtos_Results!$A$3:$B$22,2,FALSE),"")</f>
        <v/>
      </c>
      <c r="E135" s="20"/>
      <c r="F135" s="7"/>
      <c r="G135" s="25"/>
    </row>
    <row r="136">
      <c r="A136" s="45">
        <v>134.0</v>
      </c>
      <c r="B136" s="45"/>
      <c r="C136" s="23" t="str">
        <f>IFERROR(VLOOKUP(B136,Produtos_Results!$A$2:$E$22,5),"")</f>
        <v/>
      </c>
      <c r="D136" s="43" t="str">
        <f>IFERROR(VLOOKUP(B136,Produtos_Results!$A$3:$B$22,2,FALSE),"")</f>
        <v/>
      </c>
      <c r="E136" s="24"/>
      <c r="F136" s="46"/>
      <c r="G136" s="26"/>
    </row>
    <row r="137">
      <c r="A137" s="39">
        <v>135.0</v>
      </c>
      <c r="B137" s="39"/>
      <c r="C137" s="23" t="str">
        <f>IFERROR(VLOOKUP(B137,Produtos_Results!$A$2:$E$22,5),"")</f>
        <v/>
      </c>
      <c r="D137" s="43" t="str">
        <f>IFERROR(VLOOKUP(B137,Produtos_Results!$A$3:$B$22,2,FALSE),"")</f>
        <v/>
      </c>
      <c r="E137" s="20"/>
      <c r="F137" s="7"/>
      <c r="G137" s="25"/>
    </row>
    <row r="138">
      <c r="A138" s="45">
        <v>136.0</v>
      </c>
      <c r="B138" s="45"/>
      <c r="C138" s="23" t="str">
        <f>IFERROR(VLOOKUP(B138,Produtos_Results!$A$2:$E$22,5),"")</f>
        <v/>
      </c>
      <c r="D138" s="43" t="str">
        <f>IFERROR(VLOOKUP(B138,Produtos_Results!$A$3:$B$22,2,FALSE),"")</f>
        <v/>
      </c>
      <c r="E138" s="24"/>
      <c r="F138" s="46"/>
      <c r="G138" s="26"/>
    </row>
    <row r="139">
      <c r="A139" s="39">
        <v>137.0</v>
      </c>
      <c r="B139" s="39"/>
      <c r="C139" s="23" t="str">
        <f>IFERROR(VLOOKUP(B139,Produtos_Results!$A$2:$E$22,5),"")</f>
        <v/>
      </c>
      <c r="D139" s="43" t="str">
        <f>IFERROR(VLOOKUP(B139,Produtos_Results!$A$3:$B$22,2,FALSE),"")</f>
        <v/>
      </c>
      <c r="E139" s="20"/>
      <c r="F139" s="7"/>
      <c r="G139" s="25"/>
    </row>
    <row r="140">
      <c r="A140" s="45">
        <v>138.0</v>
      </c>
      <c r="B140" s="45"/>
      <c r="C140" s="23" t="str">
        <f>IFERROR(VLOOKUP(B140,Produtos_Results!$A$2:$E$22,5),"")</f>
        <v/>
      </c>
      <c r="D140" s="43" t="str">
        <f>IFERROR(VLOOKUP(B140,Produtos_Results!$A$3:$B$22,2,FALSE),"")</f>
        <v/>
      </c>
      <c r="E140" s="24"/>
      <c r="F140" s="46"/>
      <c r="G140" s="26"/>
    </row>
    <row r="141">
      <c r="A141" s="39">
        <v>139.0</v>
      </c>
      <c r="B141" s="39"/>
      <c r="C141" s="23" t="str">
        <f>IFERROR(VLOOKUP(B141,Produtos_Results!$A$2:$E$22,5),"")</f>
        <v/>
      </c>
      <c r="D141" s="43" t="str">
        <f>IFERROR(VLOOKUP(B141,Produtos_Results!$A$3:$B$22,2,FALSE),"")</f>
        <v/>
      </c>
      <c r="E141" s="20"/>
      <c r="F141" s="7"/>
      <c r="G141" s="25"/>
    </row>
    <row r="142">
      <c r="A142" s="45">
        <v>140.0</v>
      </c>
      <c r="B142" s="45"/>
      <c r="C142" s="23" t="str">
        <f>IFERROR(VLOOKUP(B142,Produtos_Results!$A$2:$E$22,5),"")</f>
        <v/>
      </c>
      <c r="D142" s="43" t="str">
        <f>IFERROR(VLOOKUP(B142,Produtos_Results!$A$3:$B$22,2,FALSE),"")</f>
        <v/>
      </c>
      <c r="E142" s="24"/>
      <c r="F142" s="46"/>
      <c r="G142" s="26"/>
    </row>
    <row r="143">
      <c r="A143" s="39">
        <v>141.0</v>
      </c>
      <c r="B143" s="39"/>
      <c r="C143" s="23" t="str">
        <f>IFERROR(VLOOKUP(B143,Produtos_Results!$A$2:$E$22,5),"")</f>
        <v/>
      </c>
      <c r="D143" s="43" t="str">
        <f>IFERROR(VLOOKUP(B143,Produtos_Results!$A$3:$B$22,2,FALSE),"")</f>
        <v/>
      </c>
      <c r="E143" s="20"/>
      <c r="F143" s="7"/>
      <c r="G143" s="25"/>
    </row>
    <row r="144">
      <c r="A144" s="45">
        <v>142.0</v>
      </c>
      <c r="B144" s="45"/>
      <c r="C144" s="23" t="str">
        <f>IFERROR(VLOOKUP(B144,Produtos_Results!$A$2:$E$22,5),"")</f>
        <v/>
      </c>
      <c r="D144" s="43" t="str">
        <f>IFERROR(VLOOKUP(B144,Produtos_Results!$A$3:$B$22,2,FALSE),"")</f>
        <v/>
      </c>
      <c r="E144" s="24"/>
      <c r="F144" s="46"/>
      <c r="G144" s="26"/>
    </row>
    <row r="145">
      <c r="A145" s="39">
        <v>143.0</v>
      </c>
      <c r="B145" s="39"/>
      <c r="C145" s="23" t="str">
        <f>IFERROR(VLOOKUP(B145,Produtos_Results!$A$2:$E$22,5),"")</f>
        <v/>
      </c>
      <c r="D145" s="43" t="str">
        <f>IFERROR(VLOOKUP(B145,Produtos_Results!$A$3:$B$22,2,FALSE),"")</f>
        <v/>
      </c>
      <c r="E145" s="20"/>
      <c r="F145" s="7"/>
      <c r="G145" s="25"/>
    </row>
    <row r="146">
      <c r="A146" s="45">
        <v>144.0</v>
      </c>
      <c r="B146" s="45"/>
      <c r="C146" s="23" t="str">
        <f>IFERROR(VLOOKUP(B146,Produtos_Results!$A$2:$E$22,5),"")</f>
        <v/>
      </c>
      <c r="D146" s="43" t="str">
        <f>IFERROR(VLOOKUP(B146,Produtos_Results!$A$3:$B$22,2,FALSE),"")</f>
        <v/>
      </c>
      <c r="E146" s="24"/>
      <c r="F146" s="46"/>
      <c r="G146" s="26"/>
    </row>
    <row r="147">
      <c r="A147" s="39">
        <v>145.0</v>
      </c>
      <c r="B147" s="39"/>
      <c r="C147" s="23" t="str">
        <f>IFERROR(VLOOKUP(B147,Produtos_Results!$A$2:$E$22,5),"")</f>
        <v/>
      </c>
      <c r="D147" s="43" t="str">
        <f>IFERROR(VLOOKUP(B147,Produtos_Results!$A$3:$B$22,2,FALSE),"")</f>
        <v/>
      </c>
      <c r="E147" s="20"/>
      <c r="F147" s="7"/>
      <c r="G147" s="25"/>
    </row>
    <row r="148">
      <c r="A148" s="45">
        <v>146.0</v>
      </c>
      <c r="B148" s="45"/>
      <c r="C148" s="23" t="str">
        <f>IFERROR(VLOOKUP(B148,Produtos_Results!$A$2:$E$22,5),"")</f>
        <v/>
      </c>
      <c r="D148" s="43" t="str">
        <f>IFERROR(VLOOKUP(B148,Produtos_Results!$A$3:$B$22,2,FALSE),"")</f>
        <v/>
      </c>
      <c r="E148" s="24"/>
      <c r="F148" s="46"/>
      <c r="G148" s="26"/>
    </row>
    <row r="149">
      <c r="A149" s="39">
        <v>147.0</v>
      </c>
      <c r="B149" s="39"/>
      <c r="C149" s="23" t="str">
        <f>IFERROR(VLOOKUP(B149,Produtos_Results!$A$2:$E$22,5),"")</f>
        <v/>
      </c>
      <c r="D149" s="43" t="str">
        <f>IFERROR(VLOOKUP(B149,Produtos_Results!$A$3:$B$22,2,FALSE),"")</f>
        <v/>
      </c>
      <c r="E149" s="20"/>
      <c r="F149" s="7"/>
      <c r="G149" s="25"/>
    </row>
    <row r="150">
      <c r="A150" s="45">
        <v>148.0</v>
      </c>
      <c r="B150" s="45"/>
      <c r="C150" s="23" t="str">
        <f>IFERROR(VLOOKUP(B150,Produtos_Results!$A$2:$E$22,5),"")</f>
        <v/>
      </c>
      <c r="D150" s="43" t="str">
        <f>IFERROR(VLOOKUP(B150,Produtos_Results!$A$3:$B$22,2,FALSE),"")</f>
        <v/>
      </c>
      <c r="E150" s="24"/>
      <c r="F150" s="46"/>
      <c r="G150" s="26"/>
    </row>
    <row r="151">
      <c r="A151" s="39">
        <v>149.0</v>
      </c>
      <c r="B151" s="39"/>
      <c r="C151" s="23" t="str">
        <f>IFERROR(VLOOKUP(B151,Produtos_Results!$A$2:$E$22,5),"")</f>
        <v/>
      </c>
      <c r="D151" s="43" t="str">
        <f>IFERROR(VLOOKUP(B151,Produtos_Results!$A$3:$B$22,2,FALSE),"")</f>
        <v/>
      </c>
      <c r="E151" s="20"/>
      <c r="F151" s="7"/>
      <c r="G151" s="25"/>
    </row>
    <row r="152">
      <c r="A152" s="45">
        <v>150.0</v>
      </c>
      <c r="B152" s="45"/>
      <c r="C152" s="23" t="str">
        <f>IFERROR(VLOOKUP(B152,Produtos_Results!$A$2:$E$22,5),"")</f>
        <v/>
      </c>
      <c r="D152" s="43" t="str">
        <f>IFERROR(VLOOKUP(B152,Produtos_Results!$A$3:$B$22,2,FALSE),"")</f>
        <v/>
      </c>
      <c r="E152" s="24"/>
      <c r="F152" s="46"/>
      <c r="G152" s="26"/>
    </row>
    <row r="153">
      <c r="A153" s="116"/>
      <c r="B153" s="117"/>
      <c r="C153" s="118"/>
      <c r="D153" s="118"/>
      <c r="E153" s="117"/>
      <c r="F153" s="119"/>
      <c r="G153" s="120"/>
    </row>
  </sheetData>
  <autoFilter ref="$A$2:$G$152"/>
  <mergeCells count="1">
    <mergeCell ref="A1:G1"/>
  </mergeCells>
  <conditionalFormatting sqref="C3:C152">
    <cfRule type="colorScale" priority="1">
      <colorScale>
        <cfvo type="percent" val="0"/>
        <cfvo type="percent" val="50"/>
        <cfvo type="percent" val="100"/>
        <color rgb="FFA61C00"/>
        <color rgb="FFFFFDBF"/>
        <color rgb="FF38761D"/>
      </colorScale>
    </cfRule>
  </conditionalFormatting>
  <conditionalFormatting sqref="C3:C152">
    <cfRule type="colorScale" priority="2">
      <colorScale>
        <cfvo type="percent" val="0"/>
        <cfvo type="percent" val="50"/>
        <cfvo type="percent" val="100"/>
        <color rgb="FFE67C73"/>
        <color rgb="FF8064A2"/>
        <color rgb="FF274E13"/>
      </colorScale>
    </cfRule>
  </conditionalFormatting>
  <conditionalFormatting sqref="F20:F152">
    <cfRule type="containsText" dxfId="4" priority="3" operator="containsText" text="Pendente">
      <formula>NOT(ISERROR(SEARCH(("Pendente"),(F20))))</formula>
    </cfRule>
  </conditionalFormatting>
  <conditionalFormatting sqref="F20:F152">
    <cfRule type="containsText" dxfId="5" priority="4" operator="containsText" text="Concluído">
      <formula>NOT(ISERROR(SEARCH(("Concluído"),(F20))))</formula>
    </cfRule>
  </conditionalFormatting>
  <conditionalFormatting sqref="F20:F152">
    <cfRule type="containsText" dxfId="6" priority="5" operator="containsText" text="Cancelado">
      <formula>NOT(ISERROR(SEARCH(("Cancelado"),(F20))))</formula>
    </cfRule>
  </conditionalFormatting>
  <conditionalFormatting sqref="F20:F152">
    <cfRule type="containsText" dxfId="7" priority="6" operator="containsText" text="Andamento">
      <formula>NOT(ISERROR(SEARCH(("Andamento"),(F20))))</formula>
    </cfRule>
  </conditionalFormatting>
  <conditionalFormatting sqref="F18:F19">
    <cfRule type="containsText" dxfId="4" priority="7" operator="containsText" text="Pendente">
      <formula>NOT(ISERROR(SEARCH(("Pendente"),(F18))))</formula>
    </cfRule>
  </conditionalFormatting>
  <conditionalFormatting sqref="F18:F19">
    <cfRule type="containsText" dxfId="5" priority="8" operator="containsText" text="Concluído">
      <formula>NOT(ISERROR(SEARCH(("Concluído"),(F18))))</formula>
    </cfRule>
  </conditionalFormatting>
  <conditionalFormatting sqref="F18:F19">
    <cfRule type="containsText" dxfId="6" priority="9" operator="containsText" text="Cancelado">
      <formula>NOT(ISERROR(SEARCH(("Cancelado"),(F18))))</formula>
    </cfRule>
  </conditionalFormatting>
  <conditionalFormatting sqref="F18:F19">
    <cfRule type="containsText" dxfId="7" priority="10" operator="containsText" text="Andamento">
      <formula>NOT(ISERROR(SEARCH(("Andamento"),(F18))))</formula>
    </cfRule>
  </conditionalFormatting>
  <conditionalFormatting sqref="F12:F17">
    <cfRule type="containsText" dxfId="4" priority="11" operator="containsText" text="Pendente">
      <formula>NOT(ISERROR(SEARCH(("Pendente"),(F12))))</formula>
    </cfRule>
  </conditionalFormatting>
  <conditionalFormatting sqref="F12:F17">
    <cfRule type="containsText" dxfId="5" priority="12" operator="containsText" text="Concluído">
      <formula>NOT(ISERROR(SEARCH(("Concluído"),(F12))))</formula>
    </cfRule>
  </conditionalFormatting>
  <conditionalFormatting sqref="F12:F17">
    <cfRule type="containsText" dxfId="6" priority="13" operator="containsText" text="Cancelado">
      <formula>NOT(ISERROR(SEARCH(("Cancelado"),(F12))))</formula>
    </cfRule>
  </conditionalFormatting>
  <conditionalFormatting sqref="F12:F17">
    <cfRule type="containsText" dxfId="7" priority="14" operator="containsText" text="Andamento">
      <formula>NOT(ISERROR(SEARCH(("Andamento"),(F12))))</formula>
    </cfRule>
  </conditionalFormatting>
  <conditionalFormatting sqref="F11">
    <cfRule type="containsText" dxfId="4" priority="15" operator="containsText" text="Pendente">
      <formula>NOT(ISERROR(SEARCH(("Pendente"),(F11))))</formula>
    </cfRule>
  </conditionalFormatting>
  <conditionalFormatting sqref="F11">
    <cfRule type="containsText" dxfId="5" priority="16" operator="containsText" text="Concluído">
      <formula>NOT(ISERROR(SEARCH(("Concluído"),(F11))))</formula>
    </cfRule>
  </conditionalFormatting>
  <conditionalFormatting sqref="F11">
    <cfRule type="containsText" dxfId="6" priority="17" operator="containsText" text="Cancelado">
      <formula>NOT(ISERROR(SEARCH(("Cancelado"),(F11))))</formula>
    </cfRule>
  </conditionalFormatting>
  <conditionalFormatting sqref="F11">
    <cfRule type="containsText" dxfId="7" priority="18" operator="containsText" text="Andamento">
      <formula>NOT(ISERROR(SEARCH(("Andamento"),(F11))))</formula>
    </cfRule>
  </conditionalFormatting>
  <conditionalFormatting sqref="F9:F10">
    <cfRule type="containsText" dxfId="4" priority="19" operator="containsText" text="Pendente">
      <formula>NOT(ISERROR(SEARCH(("Pendente"),(F9))))</formula>
    </cfRule>
  </conditionalFormatting>
  <conditionalFormatting sqref="F9:F10">
    <cfRule type="containsText" dxfId="5" priority="20" operator="containsText" text="Concluído">
      <formula>NOT(ISERROR(SEARCH(("Concluído"),(F9))))</formula>
    </cfRule>
  </conditionalFormatting>
  <conditionalFormatting sqref="F9:F10">
    <cfRule type="containsText" dxfId="6" priority="21" operator="containsText" text="Cancelado">
      <formula>NOT(ISERROR(SEARCH(("Cancelado"),(F9))))</formula>
    </cfRule>
  </conditionalFormatting>
  <conditionalFormatting sqref="F9:F10">
    <cfRule type="containsText" dxfId="7" priority="22" operator="containsText" text="Andamento">
      <formula>NOT(ISERROR(SEARCH(("Andamento"),(F9))))</formula>
    </cfRule>
  </conditionalFormatting>
  <conditionalFormatting sqref="F8">
    <cfRule type="containsText" dxfId="4" priority="23" operator="containsText" text="Pendente">
      <formula>NOT(ISERROR(SEARCH(("Pendente"),(F8))))</formula>
    </cfRule>
  </conditionalFormatting>
  <conditionalFormatting sqref="F8">
    <cfRule type="containsText" dxfId="5" priority="24" operator="containsText" text="Concluído">
      <formula>NOT(ISERROR(SEARCH(("Concluído"),(F8))))</formula>
    </cfRule>
  </conditionalFormatting>
  <conditionalFormatting sqref="F8">
    <cfRule type="containsText" dxfId="6" priority="25" operator="containsText" text="Cancelado">
      <formula>NOT(ISERROR(SEARCH(("Cancelado"),(F8))))</formula>
    </cfRule>
  </conditionalFormatting>
  <conditionalFormatting sqref="F8">
    <cfRule type="containsText" dxfId="7" priority="26" operator="containsText" text="Andamento">
      <formula>NOT(ISERROR(SEARCH(("Andamento"),(F8))))</formula>
    </cfRule>
  </conditionalFormatting>
  <conditionalFormatting sqref="F5:F7">
    <cfRule type="containsText" dxfId="4" priority="27" operator="containsText" text="Pendente">
      <formula>NOT(ISERROR(SEARCH(("Pendente"),(F5))))</formula>
    </cfRule>
  </conditionalFormatting>
  <conditionalFormatting sqref="F5:F7">
    <cfRule type="containsText" dxfId="5" priority="28" operator="containsText" text="Concluído">
      <formula>NOT(ISERROR(SEARCH(("Concluído"),(F5))))</formula>
    </cfRule>
  </conditionalFormatting>
  <conditionalFormatting sqref="F5:F7">
    <cfRule type="containsText" dxfId="6" priority="29" operator="containsText" text="Cancelado">
      <formula>NOT(ISERROR(SEARCH(("Cancelado"),(F5))))</formula>
    </cfRule>
  </conditionalFormatting>
  <conditionalFormatting sqref="F5:F7">
    <cfRule type="containsText" dxfId="7" priority="30" operator="containsText" text="Andamento">
      <formula>NOT(ISERROR(SEARCH(("Andamento"),(F5))))</formula>
    </cfRule>
  </conditionalFormatting>
  <conditionalFormatting sqref="F3:F152">
    <cfRule type="containsText" dxfId="4" priority="31" operator="containsText" text="Pendente">
      <formula>NOT(ISERROR(SEARCH(("Pendente"),(F3))))</formula>
    </cfRule>
  </conditionalFormatting>
  <conditionalFormatting sqref="F3:F152">
    <cfRule type="containsText" dxfId="5" priority="32" operator="containsText" text="Concluído">
      <formula>NOT(ISERROR(SEARCH(("Concluído"),(F3))))</formula>
    </cfRule>
  </conditionalFormatting>
  <conditionalFormatting sqref="F3:F152">
    <cfRule type="containsText" dxfId="6" priority="33" operator="containsText" text="Cancelado">
      <formula>NOT(ISERROR(SEARCH(("Cancelado"),(F3))))</formula>
    </cfRule>
  </conditionalFormatting>
  <conditionalFormatting sqref="F3:F152">
    <cfRule type="containsText" dxfId="7" priority="34" operator="containsText" text="Andamento">
      <formula>NOT(ISERROR(SEARCH(("Andamento"),(F3))))</formula>
    </cfRule>
  </conditionalFormatting>
  <dataValidations>
    <dataValidation type="list" allowBlank="1" sqref="F3:F152">
      <formula1>"Andamento,Concluído,Cancelado,Pendente"</formula1>
    </dataValidation>
    <dataValidation type="list" allowBlank="1" sqref="B3:B152">
      <formula1>Produtos_Results!$A$3:$A$22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57.57"/>
  </cols>
  <sheetData>
    <row r="1">
      <c r="A1" s="40" t="s">
        <v>110</v>
      </c>
    </row>
    <row r="2">
      <c r="A2" s="41" t="s">
        <v>111</v>
      </c>
      <c r="B2" s="41" t="s">
        <v>112</v>
      </c>
    </row>
    <row r="3">
      <c r="A3" s="42">
        <v>1.0</v>
      </c>
      <c r="B3" s="42" t="s">
        <v>57</v>
      </c>
    </row>
    <row r="4">
      <c r="A4" s="42">
        <v>2.0</v>
      </c>
      <c r="B4" s="42" t="s">
        <v>60</v>
      </c>
    </row>
    <row r="5">
      <c r="A5" s="42">
        <v>3.0</v>
      </c>
      <c r="B5" s="42" t="s">
        <v>71</v>
      </c>
    </row>
    <row r="6">
      <c r="A6" s="42">
        <v>4.0</v>
      </c>
      <c r="B6" s="42" t="s">
        <v>35</v>
      </c>
    </row>
    <row r="7">
      <c r="A7" s="42">
        <v>5.0</v>
      </c>
      <c r="B7" s="42" t="s">
        <v>76</v>
      </c>
    </row>
    <row r="9">
      <c r="A9" s="33" t="s">
        <v>113</v>
      </c>
      <c r="B9" s="44">
        <f>count(A3:A7)</f>
        <v>5</v>
      </c>
    </row>
  </sheetData>
  <mergeCells count="1">
    <mergeCell ref="A1:B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2.14"/>
    <col customWidth="1" min="3" max="3" width="95.86"/>
  </cols>
  <sheetData>
    <row r="1">
      <c r="A1" s="47" t="s">
        <v>123</v>
      </c>
      <c r="B1" s="48"/>
      <c r="C1" s="49"/>
    </row>
    <row r="2">
      <c r="A2" s="50" t="s">
        <v>103</v>
      </c>
      <c r="B2" s="51" t="s">
        <v>125</v>
      </c>
      <c r="C2" s="52" t="s">
        <v>6</v>
      </c>
    </row>
    <row r="3">
      <c r="A3" s="53" t="s">
        <v>126</v>
      </c>
      <c r="B3" s="54">
        <f>COUNT(Tabela_Requisitos_Negocio!A3:A7)</f>
        <v>5</v>
      </c>
      <c r="C3" s="53" t="s">
        <v>128</v>
      </c>
    </row>
    <row r="4">
      <c r="A4" s="53" t="s">
        <v>129</v>
      </c>
      <c r="B4" s="54">
        <f>COUNTA(Produtos_Results!A3:A22)</f>
        <v>14</v>
      </c>
      <c r="C4" s="53" t="s">
        <v>130</v>
      </c>
    </row>
    <row r="5">
      <c r="A5" s="53" t="s">
        <v>131</v>
      </c>
      <c r="B5" s="56">
        <f>COUNTA(Produtos_X_Funcionalidades!E2:E152)</f>
        <v>124</v>
      </c>
      <c r="C5" s="53" t="s">
        <v>132</v>
      </c>
    </row>
    <row r="6">
      <c r="A6" s="53" t="s">
        <v>133</v>
      </c>
      <c r="B6" s="54">
        <f>COUNTA(BluePrint!$C$3:$C$72)</f>
        <v>41</v>
      </c>
      <c r="C6" s="53"/>
    </row>
    <row r="7">
      <c r="A7" s="53" t="s">
        <v>135</v>
      </c>
      <c r="B7" s="54">
        <f>COUNTIF(BluePrint!$I$3:$I$72,"4-Quick Wins")</f>
        <v>18</v>
      </c>
      <c r="C7" s="53" t="s">
        <v>136</v>
      </c>
    </row>
    <row r="8">
      <c r="A8" s="53" t="s">
        <v>137</v>
      </c>
      <c r="B8" s="54">
        <f>COUNTIF(BluePrint!$I$3:$I$72,"3-Short Term")</f>
        <v>8</v>
      </c>
      <c r="C8" s="58"/>
    </row>
    <row r="9">
      <c r="A9" s="53" t="s">
        <v>138</v>
      </c>
      <c r="B9" s="54">
        <f>COUNTIF(BluePrint!$I$3:$I$72,"2-Medium Term")</f>
        <v>3</v>
      </c>
      <c r="C9" s="58"/>
    </row>
    <row r="10">
      <c r="A10" s="53" t="s">
        <v>140</v>
      </c>
      <c r="B10" s="54">
        <f>COUNTIF(BluePrint!$I$3:$I$72,"1-Extend Term")</f>
        <v>12</v>
      </c>
      <c r="C10" s="58"/>
    </row>
    <row r="11">
      <c r="A11" s="53" t="s">
        <v>141</v>
      </c>
      <c r="B11" s="59">
        <f>80/100</f>
        <v>0.8</v>
      </c>
      <c r="C11" s="53" t="s">
        <v>142</v>
      </c>
    </row>
    <row r="12">
      <c r="A12" s="53" t="s">
        <v>143</v>
      </c>
      <c r="B12" s="56">
        <f>COUNTIF(Produtos_Results!E3:E22,CONCATENATE("&gt;",B11))</f>
        <v>2</v>
      </c>
      <c r="C12" s="53" t="s">
        <v>145</v>
      </c>
    </row>
    <row r="13">
      <c r="A13" s="53" t="s">
        <v>146</v>
      </c>
      <c r="B13" s="60">
        <f>B12/B4</f>
        <v>0.1428571429</v>
      </c>
      <c r="C13" s="53" t="s">
        <v>147</v>
      </c>
    </row>
    <row r="14">
      <c r="A14" s="53" t="s">
        <v>148</v>
      </c>
      <c r="B14" s="54">
        <f>COUNTIF(Produtos_X_Funcionalidades!F2:F150,"Concluído")</f>
        <v>37</v>
      </c>
      <c r="C14" s="53" t="s">
        <v>150</v>
      </c>
    </row>
    <row r="15">
      <c r="A15" s="53" t="s">
        <v>151</v>
      </c>
      <c r="B15" s="60">
        <f>B14/B5</f>
        <v>0.2983870968</v>
      </c>
      <c r="C15" s="53" t="s">
        <v>152</v>
      </c>
    </row>
    <row r="16">
      <c r="A16" s="58"/>
      <c r="B16" s="56"/>
      <c r="C16" s="61"/>
    </row>
    <row r="17">
      <c r="A17" s="58"/>
      <c r="B17" s="62"/>
      <c r="C17" s="58"/>
    </row>
    <row r="18">
      <c r="A18" s="61"/>
      <c r="B18" s="54"/>
      <c r="C18" s="61"/>
    </row>
    <row r="19">
      <c r="A19" s="61"/>
      <c r="B19" s="54"/>
      <c r="C19" s="61"/>
    </row>
    <row r="20">
      <c r="A20" s="61"/>
      <c r="B20" s="54"/>
      <c r="C20" s="61"/>
    </row>
    <row r="21">
      <c r="A21" s="61"/>
      <c r="B21" s="54"/>
      <c r="C21" s="61"/>
    </row>
    <row r="22">
      <c r="A22" s="61"/>
      <c r="B22" s="54"/>
      <c r="C22" s="61"/>
    </row>
    <row r="23">
      <c r="A23" s="61"/>
      <c r="B23" s="54"/>
      <c r="C23" s="61"/>
    </row>
    <row r="44">
      <c r="D44" s="44">
        <f>C46</f>
        <v>0.1666666667</v>
      </c>
      <c r="E44" s="44">
        <f>D44*24</f>
        <v>4</v>
      </c>
    </row>
    <row r="46">
      <c r="B46" s="63">
        <v>0.16666666666666666</v>
      </c>
      <c r="C46" s="44">
        <f>TIMEVALUE(B46)</f>
        <v>0.1666666667</v>
      </c>
    </row>
    <row r="47">
      <c r="B47" s="44">
        <f>E44*60</f>
        <v>240</v>
      </c>
      <c r="C47" s="44">
        <f>DATEVALUE(B46)*60</f>
        <v>0</v>
      </c>
    </row>
    <row r="48">
      <c r="B48" s="44">
        <f>85/B47</f>
        <v>0.3541666667</v>
      </c>
    </row>
    <row r="49">
      <c r="B49" s="44">
        <f>B48*60</f>
        <v>21.25</v>
      </c>
      <c r="D49" s="44">
        <v>21.25</v>
      </c>
    </row>
    <row r="50">
      <c r="D50" s="44">
        <v>21.25</v>
      </c>
    </row>
    <row r="51">
      <c r="D51" s="44">
        <v>21.25</v>
      </c>
    </row>
    <row r="52">
      <c r="D52" s="44">
        <v>21.25</v>
      </c>
    </row>
  </sheetData>
  <mergeCells count="1">
    <mergeCell ref="A1:C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14"/>
    <col customWidth="1" min="2" max="2" width="41.29"/>
    <col customWidth="1" min="3" max="3" width="64.57"/>
    <col customWidth="1" min="4" max="4" width="41.57"/>
    <col customWidth="1" min="5" max="5" width="39.0"/>
    <col customWidth="1" min="6" max="26" width="8.71"/>
  </cols>
  <sheetData>
    <row r="1">
      <c r="A1" s="64" t="s">
        <v>167</v>
      </c>
      <c r="B1" s="65" t="s">
        <v>36</v>
      </c>
      <c r="C1" s="65" t="s">
        <v>169</v>
      </c>
      <c r="D1" s="65" t="s">
        <v>170</v>
      </c>
      <c r="E1" s="65" t="s">
        <v>16</v>
      </c>
    </row>
    <row r="2">
      <c r="A2" s="66" t="str">
        <f>'8-Parcerias Chave'!A14</f>
        <v>Fabricas de Software</v>
      </c>
      <c r="B2" s="67" t="str">
        <f>'7-Atividades Chave'!A14</f>
        <v>Treinamento da Rede</v>
      </c>
      <c r="C2" s="68" t="str">
        <f>'2-Proposições de Valor'!A14</f>
        <v>Padaria:</v>
      </c>
      <c r="D2" s="66" t="str">
        <f>'4-Relacionamento com Clientes'!A14</f>
        <v>Ações de Marketing </v>
      </c>
      <c r="E2" s="67" t="str">
        <f>'1-Segmentos de Clientes'!A14</f>
        <v>Padarias</v>
      </c>
    </row>
    <row r="3">
      <c r="A3" s="69" t="str">
        <f>'8-Parcerias Chave'!A15</f>
        <v>Data Centers</v>
      </c>
      <c r="B3" s="70" t="str">
        <f>'7-Atividades Chave'!A15</f>
        <v>Desenvolvimento de Software</v>
      </c>
      <c r="C3" s="71" t="str">
        <f>'2-Proposições de Valor'!A15</f>
        <v>Identificar a jornada, hábitos e prefrências dos clientes</v>
      </c>
      <c r="D3" s="69" t="str">
        <f>'4-Relacionamento com Clientes'!A15</f>
        <v>Eventos para Canais (Results Summit)</v>
      </c>
      <c r="E3" s="70" t="str">
        <f>'1-Segmentos de Clientes'!A15</f>
        <v/>
      </c>
    </row>
    <row r="4">
      <c r="A4" s="69" t="str">
        <f>'8-Parcerias Chave'!A16</f>
        <v>Parceiros de Backoffice (Contabilidade, Juridico etc..)</v>
      </c>
      <c r="B4" s="70" t="str">
        <f>'7-Atividades Chave'!A16</f>
        <v>Ações de Marketing</v>
      </c>
      <c r="C4" s="71" t="str">
        <f>'2-Proposições de Valor'!A16</f>
        <v>Mapear as demandas de maneira perzonalizada</v>
      </c>
      <c r="D4" s="69" t="str">
        <f>'4-Relacionamento com Clientes'!A16</f>
        <v>Webinars</v>
      </c>
      <c r="E4" s="70" t="str">
        <f>'1-Segmentos de Clientes'!A16</f>
        <v/>
      </c>
    </row>
    <row r="5">
      <c r="A5" s="69" t="str">
        <f>'8-Parcerias Chave'!A17</f>
        <v>Associações (Abip, Sampapão, Rio+Pão, Sebrae, etc..)</v>
      </c>
      <c r="B5" s="70" t="str">
        <f>'7-Atividades Chave'!A17</f>
        <v>Backoffice (contabilidade, financeiro, etc..)</v>
      </c>
      <c r="C5" s="71" t="str">
        <f>'2-Proposições de Valor'!A17</f>
        <v>Monitorar os pedidos, produção, produtos e entrega</v>
      </c>
      <c r="D5" s="69" t="str">
        <f>'4-Relacionamento com Clientes'!A17</f>
        <v>Banners nas Padarias</v>
      </c>
      <c r="E5" s="70" t="str">
        <f>'1-Segmentos de Clientes'!A17</f>
        <v/>
      </c>
    </row>
    <row r="6">
      <c r="A6" s="69" t="str">
        <f>'8-Parcerias Chave'!A18</f>
        <v>Agencias de Marketing e Publicidade</v>
      </c>
      <c r="B6" s="70" t="str">
        <f>'7-Atividades Chave'!A18</f>
        <v>Monitoramento de dados e sistemas </v>
      </c>
      <c r="C6" s="71" t="str">
        <f>'2-Proposições de Valor'!A18</f>
        <v>Detectar e corrigir falhas nos equipamentos e sistemas</v>
      </c>
      <c r="D6" s="69" t="str">
        <f>'4-Relacionamento com Clientes'!A18</f>
        <v>Workshops de Harmonização</v>
      </c>
      <c r="E6" s="70" t="str">
        <f>'1-Segmentos de Clientes'!A18</f>
        <v/>
      </c>
    </row>
    <row r="7">
      <c r="A7" s="69" t="str">
        <f>'8-Parcerias Chave'!A19</f>
        <v>Rede de Distribuidores</v>
      </c>
      <c r="B7" s="70" t="str">
        <f>'7-Atividades Chave'!A19</f>
        <v>Atendimento/Suporte ao Cliente</v>
      </c>
      <c r="C7" s="71" t="str">
        <f>'2-Proposições de Valor'!A19</f>
        <v>Agilizar a comunicação com clientes, fornecedores e colaboradores</v>
      </c>
      <c r="D7" s="69" t="str">
        <f>'4-Relacionamento com Clientes'!A19</f>
        <v>Atendimento (Call Center)</v>
      </c>
      <c r="E7" s="70" t="str">
        <f>'1-Segmentos de Clientes'!A19</f>
        <v/>
      </c>
    </row>
    <row r="8">
      <c r="A8" s="69" t="str">
        <f>'8-Parcerias Chave'!A20</f>
        <v>Investidores</v>
      </c>
      <c r="B8" s="70" t="str">
        <f>'7-Atividades Chave'!A20</f>
        <v>Comercial</v>
      </c>
      <c r="C8" s="71" t="str">
        <f>'2-Proposições de Valor'!A20</f>
        <v>Identificar possíveis furtos,  perdas e desperdícios</v>
      </c>
      <c r="D8" s="69" t="str">
        <f>'4-Relacionamento com Clientes'!A20</f>
        <v/>
      </c>
      <c r="E8" s="70" t="str">
        <f>'1-Segmentos de Clientes'!A20</f>
        <v/>
      </c>
    </row>
    <row r="9">
      <c r="A9" s="69" t="str">
        <f>'8-Parcerias Chave'!A21</f>
        <v>Universidades (USP, FEI etc..)</v>
      </c>
      <c r="B9" s="70" t="str">
        <f>'7-Atividades Chave'!A21</f>
        <v>P&amp;D</v>
      </c>
      <c r="C9" s="71" t="str">
        <f>'2-Proposições de Valor'!A21</f>
        <v/>
      </c>
      <c r="D9" s="69" t="str">
        <f>'4-Relacionamento com Clientes'!A21</f>
        <v/>
      </c>
      <c r="E9" s="70" t="str">
        <f>'1-Segmentos de Clientes'!A21</f>
        <v/>
      </c>
    </row>
    <row r="10">
      <c r="A10" s="69" t="str">
        <f>'8-Parcerias Chave'!A22</f>
        <v>Lianja</v>
      </c>
      <c r="B10" s="70" t="str">
        <f>'7-Atividades Chave'!A22</f>
        <v/>
      </c>
      <c r="C10" s="71" t="str">
        <f>'2-Proposições de Valor'!A22</f>
        <v>Clientes:</v>
      </c>
      <c r="D10" s="69" t="str">
        <f>'4-Relacionamento com Clientes'!A22</f>
        <v/>
      </c>
      <c r="E10" s="70" t="str">
        <f>'1-Segmentos de Clientes'!A22</f>
        <v/>
      </c>
    </row>
    <row r="11">
      <c r="A11" s="69" t="str">
        <f>'8-Parcerias Chave'!A23</f>
        <v>Consultorias e Mentorias </v>
      </c>
      <c r="B11" s="72" t="str">
        <f>'7-Atividades Chave'!A23</f>
        <v/>
      </c>
      <c r="C11" s="71" t="str">
        <f>'2-Proposições de Valor'!A23</f>
        <v>Pesquisar produtos on-line</v>
      </c>
      <c r="D11" s="73" t="str">
        <f>'4-Relacionamento com Clientes'!A23</f>
        <v/>
      </c>
      <c r="E11" s="70" t="str">
        <f>'1-Segmentos de Clientes'!A23</f>
        <v/>
      </c>
    </row>
    <row r="12">
      <c r="A12" s="69" t="str">
        <f>'8-Parcerias Chave'!A24</f>
        <v>Padaria Piloto</v>
      </c>
      <c r="B12" s="74" t="s">
        <v>179</v>
      </c>
      <c r="C12" s="69" t="str">
        <f>'2-Proposições de Valor'!A24</f>
        <v>Compra e pagamento via aplicativos </v>
      </c>
      <c r="D12" s="75" t="s">
        <v>23</v>
      </c>
      <c r="E12" s="69" t="str">
        <f>'1-Segmentos de Clientes'!A24</f>
        <v/>
      </c>
    </row>
    <row r="13">
      <c r="A13" s="69" t="str">
        <f>'8-Parcerias Chave'!A25</f>
        <v> </v>
      </c>
      <c r="B13" s="71" t="str">
        <f>'6-Recursos Chave'!A14</f>
        <v>Desenvolvedores Polivalente (Java, Phyton etc..)</v>
      </c>
      <c r="C13" s="69" t="str">
        <f>'2-Proposições de Valor'!A25</f>
        <v>Atendimento personalizado</v>
      </c>
      <c r="D13" s="70" t="str">
        <f>'3-Canais'!A14</f>
        <v>Appliance com Solução Embarcada</v>
      </c>
      <c r="E13" s="69" t="str">
        <f>'1-Segmentos de Clientes'!A25</f>
        <v/>
      </c>
    </row>
    <row r="14">
      <c r="A14" s="69" t="str">
        <f>'8-Parcerias Chave'!A26</f>
        <v> </v>
      </c>
      <c r="B14" s="71" t="str">
        <f>'6-Recursos Chave'!A15</f>
        <v>Especialistas de UX </v>
      </c>
      <c r="C14" s="69" t="str">
        <f>'2-Proposições de Valor'!A26</f>
        <v>Efetuar pedido por diferentes canais de comunicação</v>
      </c>
      <c r="D14" s="70" t="str">
        <f>'3-Canais'!A15</f>
        <v>Plataforma com Multi-Aplicativos local ou Nuvem</v>
      </c>
      <c r="E14" s="69" t="str">
        <f>'1-Segmentos de Clientes'!A26</f>
        <v/>
      </c>
    </row>
    <row r="15">
      <c r="A15" s="69" t="str">
        <f>'8-Parcerias Chave'!A27</f>
        <v> </v>
      </c>
      <c r="B15" s="71" t="str">
        <f>'6-Recursos Chave'!A16</f>
        <v>Equipamentos Eletronicos para IoT</v>
      </c>
      <c r="C15" s="69" t="str">
        <f>'2-Proposições de Valor'!A27</f>
        <v>Acompanhar o status do pedido</v>
      </c>
      <c r="D15" s="70" t="str">
        <f>'3-Canais'!A16</f>
        <v>Revenda feitas por Parceiros Estratégicos</v>
      </c>
      <c r="E15" s="69" t="str">
        <f>'1-Segmentos de Clientes'!A27</f>
        <v/>
      </c>
    </row>
    <row r="16">
      <c r="A16" s="69" t="str">
        <f>'8-Parcerias Chave'!A28</f>
        <v> </v>
      </c>
      <c r="B16" s="71" t="str">
        <f>'6-Recursos Chave'!A17</f>
        <v>Serviços em Nuvem</v>
      </c>
      <c r="C16" s="69" t="str">
        <f>'2-Proposições de Valor'!A28</f>
        <v/>
      </c>
      <c r="D16" s="70" t="str">
        <f>'3-Canais'!A17</f>
        <v>Sindicatos das Padarias</v>
      </c>
      <c r="E16" s="69" t="str">
        <f>'1-Segmentos de Clientes'!A28</f>
        <v/>
      </c>
    </row>
    <row r="17">
      <c r="A17" s="69" t="str">
        <f>'8-Parcerias Chave'!A29</f>
        <v> </v>
      </c>
      <c r="B17" s="71" t="str">
        <f>'6-Recursos Chave'!A18</f>
        <v>Logistica (movimentação de Hardware)</v>
      </c>
      <c r="C17" s="69" t="str">
        <f>'2-Proposições de Valor'!A29</f>
        <v/>
      </c>
      <c r="D17" s="70" t="str">
        <f>'3-Canais'!A18</f>
        <v>Eventos do Segmento (Feiras, Workshops etc..)</v>
      </c>
      <c r="E17" s="69" t="str">
        <f>'1-Segmentos de Clientes'!A29</f>
        <v/>
      </c>
    </row>
    <row r="18">
      <c r="A18" s="69" t="str">
        <f>'8-Parcerias Chave'!A30</f>
        <v> </v>
      </c>
      <c r="B18" s="71" t="str">
        <f>'6-Recursos Chave'!A19</f>
        <v>Atendimento Vendas e Suporte Tecnico</v>
      </c>
      <c r="C18" s="69" t="str">
        <f>'2-Proposições de Valor'!A30</f>
        <v/>
      </c>
      <c r="D18" s="70" t="str">
        <f>'3-Canais'!A19</f>
        <v>Sites</v>
      </c>
      <c r="E18" s="69" t="str">
        <f>'1-Segmentos de Clientes'!A30</f>
        <v/>
      </c>
    </row>
    <row r="19">
      <c r="A19" s="69" t="str">
        <f>'8-Parcerias Chave'!A31</f>
        <v> </v>
      </c>
      <c r="B19" s="71" t="str">
        <f>'6-Recursos Chave'!A20</f>
        <v>Atendimento Rede de Distribuidores</v>
      </c>
      <c r="C19" s="69" t="str">
        <f>'2-Proposições de Valor'!A31</f>
        <v/>
      </c>
      <c r="D19" s="70" t="str">
        <f>'3-Canais'!A20</f>
        <v>WhatsApp</v>
      </c>
      <c r="E19" s="69" t="str">
        <f>'1-Segmentos de Clientes'!A31</f>
        <v/>
      </c>
    </row>
    <row r="20">
      <c r="A20" s="69" t="str">
        <f>'8-Parcerias Chave'!A32</f>
        <v> </v>
      </c>
      <c r="B20" s="71" t="str">
        <f>'6-Recursos Chave'!A21</f>
        <v>Recursos Financeiros (Investimentos)</v>
      </c>
      <c r="C20" s="69" t="str">
        <f>'2-Proposições de Valor'!A32</f>
        <v/>
      </c>
      <c r="D20" s="70" t="str">
        <f>'3-Canais'!A21</f>
        <v>Sociais (youtube, facebook..)</v>
      </c>
      <c r="E20" s="69" t="str">
        <f>'1-Segmentos de Clientes'!A32</f>
        <v/>
      </c>
    </row>
    <row r="21" ht="15.75" customHeight="1">
      <c r="A21" s="73" t="str">
        <f>'8-Parcerias Chave'!A33</f>
        <v> </v>
      </c>
      <c r="B21" s="71" t="str">
        <f>'6-Recursos Chave'!A22</f>
        <v>Profissional de Adoção de Tecnologia</v>
      </c>
      <c r="C21" s="73" t="str">
        <f>'2-Proposições de Valor'!A33</f>
        <v/>
      </c>
      <c r="D21" s="70" t="str">
        <f>'3-Canais'!A23</f>
        <v/>
      </c>
      <c r="E21" s="69" t="str">
        <f>'1-Segmentos de Clientes'!A33</f>
        <v/>
      </c>
    </row>
    <row r="22" ht="15.75" customHeight="1">
      <c r="A22" s="76" t="s">
        <v>186</v>
      </c>
      <c r="B22" s="77"/>
      <c r="C22" s="78"/>
      <c r="D22" s="79" t="s">
        <v>188</v>
      </c>
      <c r="E22" s="80"/>
    </row>
    <row r="23" ht="15.75" customHeight="1">
      <c r="A23" s="81" t="str">
        <f>'9-Estrutura de Custos'!A14</f>
        <v>Licenciamento </v>
      </c>
      <c r="B23" s="77"/>
      <c r="C23" s="78"/>
      <c r="D23" s="81" t="str">
        <f>'5-Fontes de Receita'!A14</f>
        <v>Plano Basico Mensal</v>
      </c>
      <c r="E23" s="78"/>
    </row>
    <row r="24" ht="15.75" customHeight="1">
      <c r="A24" s="81" t="str">
        <f>'9-Estrutura de Custos'!A15</f>
        <v>Desenvolvimento de Software</v>
      </c>
      <c r="B24" s="77"/>
      <c r="C24" s="78"/>
      <c r="D24" s="82" t="str">
        <f>'5-Fontes de Receita'!A15</f>
        <v>Plano Médio Mensal</v>
      </c>
      <c r="E24" s="78"/>
    </row>
    <row r="25" ht="15.75" customHeight="1">
      <c r="A25" s="81" t="str">
        <f>'9-Estrutura de Custos'!A16</f>
        <v>Infraestrutura</v>
      </c>
      <c r="B25" s="77"/>
      <c r="C25" s="78"/>
      <c r="D25" s="82" t="str">
        <f>'5-Fontes de Receita'!A16</f>
        <v>Plano Avançado Mensal</v>
      </c>
      <c r="E25" s="78"/>
    </row>
    <row r="26" ht="15.75" customHeight="1">
      <c r="A26" s="81" t="str">
        <f>'9-Estrutura de Custos'!A17</f>
        <v>Pessoal</v>
      </c>
      <c r="B26" s="77"/>
      <c r="C26" s="78"/>
      <c r="D26" s="82"/>
      <c r="E26" s="78"/>
    </row>
    <row r="27" ht="15.75" customHeight="1">
      <c r="A27" s="81" t="str">
        <f>'9-Estrutura de Custos'!A18</f>
        <v>Backoffice (com todos parceiros)</v>
      </c>
      <c r="B27" s="77"/>
      <c r="C27" s="78"/>
      <c r="D27" s="82"/>
      <c r="E27" s="78"/>
    </row>
    <row r="28" ht="15.75" customHeight="1">
      <c r="A28" s="81" t="str">
        <f>'9-Estrutura de Custos'!A19</f>
        <v>Treinamentos e Capacitação</v>
      </c>
      <c r="B28" s="77"/>
      <c r="C28" s="78"/>
      <c r="D28" s="82"/>
      <c r="E28" s="78"/>
    </row>
    <row r="29" ht="15.75" customHeight="1">
      <c r="A29" s="81" t="str">
        <f>'9-Estrutura de Custos'!A20</f>
        <v/>
      </c>
      <c r="B29" s="77"/>
      <c r="C29" s="78"/>
      <c r="D29" s="82"/>
      <c r="E29" s="78"/>
    </row>
    <row r="30" ht="15.75" customHeight="1">
      <c r="A30" s="81" t="str">
        <f>'9-Estrutura de Custos'!A21</f>
        <v/>
      </c>
      <c r="B30" s="77"/>
      <c r="C30" s="78"/>
      <c r="D30" s="82"/>
      <c r="E30" s="78"/>
    </row>
    <row r="31" ht="15.75" customHeight="1">
      <c r="A31" s="81" t="str">
        <f>'9-Estrutura de Custos'!A22</f>
        <v/>
      </c>
      <c r="B31" s="77"/>
      <c r="C31" s="78"/>
      <c r="D31" s="82"/>
      <c r="E31" s="78"/>
    </row>
    <row r="32" ht="15.75" customHeight="1">
      <c r="A32" s="83" t="str">
        <f>'9-Estrutura de Custos'!A23</f>
        <v/>
      </c>
      <c r="B32" s="84"/>
      <c r="C32" s="85"/>
      <c r="D32" s="86"/>
      <c r="E32" s="8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22:C22"/>
    <mergeCell ref="D22:E22"/>
    <mergeCell ref="A23:C23"/>
    <mergeCell ref="D23:E23"/>
    <mergeCell ref="A24:C24"/>
    <mergeCell ref="D24:E24"/>
    <mergeCell ref="D25:E25"/>
    <mergeCell ref="A29:C29"/>
    <mergeCell ref="D29:E29"/>
    <mergeCell ref="A30:C30"/>
    <mergeCell ref="D30:E30"/>
    <mergeCell ref="A31:C31"/>
    <mergeCell ref="D31:E31"/>
    <mergeCell ref="A32:C32"/>
    <mergeCell ref="D32:E32"/>
    <mergeCell ref="A25:C25"/>
    <mergeCell ref="A26:C26"/>
    <mergeCell ref="D26:E26"/>
    <mergeCell ref="A27:C27"/>
    <mergeCell ref="D27:E27"/>
    <mergeCell ref="A28:C28"/>
    <mergeCell ref="D28:E28"/>
  </mergeCells>
  <hyperlinks>
    <hyperlink display="Parceiros" location="'8-Parcerias Chave'!A1" ref="A1"/>
    <hyperlink display="Atividades-Chave" location="'7-Atividades Chave'!A1" ref="B1"/>
    <hyperlink display="Proposições de Valor" location="'2-Proposições de Valor'!A1" ref="C1"/>
    <hyperlink display="Relacionamento com os Clientes" location="'4-Relacionamento com Clientes'!A1" ref="D1"/>
    <hyperlink display="Segmentos de Clientes" location="'1-Segmentos de Clientes'!A1" ref="E1"/>
    <hyperlink display="Recursos-Chave" location="'6-Recursos Chave'!A1" ref="B12"/>
    <hyperlink display="Canais" location="'3-Canais'!A1" ref="D12"/>
    <hyperlink display="9) Estrutura de Custo" location="'9-Estrutura de Custos'!A1" ref="A22"/>
  </hyperlink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2.57"/>
    <col customWidth="1" min="2" max="2" width="3.0"/>
    <col customWidth="1" min="3" max="26" width="8.71"/>
  </cols>
  <sheetData>
    <row r="1">
      <c r="A1" s="87" t="s">
        <v>200</v>
      </c>
    </row>
    <row r="2">
      <c r="A2" s="88" t="s">
        <v>201</v>
      </c>
    </row>
    <row r="3">
      <c r="A3" s="89" t="s">
        <v>203</v>
      </c>
    </row>
    <row r="4">
      <c r="A4" s="90" t="s">
        <v>204</v>
      </c>
    </row>
    <row r="5">
      <c r="A5" s="90" t="s">
        <v>205</v>
      </c>
    </row>
    <row r="6">
      <c r="A6" s="90" t="s">
        <v>206</v>
      </c>
    </row>
    <row r="7">
      <c r="A7" s="90"/>
    </row>
    <row r="8">
      <c r="A8" s="90"/>
    </row>
    <row r="9">
      <c r="A9" s="90"/>
    </row>
    <row r="10">
      <c r="A10" s="90"/>
    </row>
    <row r="11">
      <c r="A11" s="91"/>
    </row>
    <row r="13">
      <c r="A13" s="92" t="s">
        <v>208</v>
      </c>
    </row>
    <row r="14">
      <c r="A14" s="93" t="s">
        <v>209</v>
      </c>
    </row>
    <row r="15">
      <c r="A15" s="94" t="s">
        <v>210</v>
      </c>
    </row>
    <row r="16">
      <c r="A16" s="94" t="s">
        <v>211</v>
      </c>
    </row>
    <row r="17">
      <c r="A17" s="94" t="s">
        <v>212</v>
      </c>
    </row>
    <row r="18">
      <c r="A18" s="94" t="s">
        <v>213</v>
      </c>
    </row>
    <row r="19">
      <c r="A19" s="94" t="s">
        <v>214</v>
      </c>
      <c r="C19" s="95" t="s">
        <v>215</v>
      </c>
    </row>
    <row r="20">
      <c r="A20" s="94" t="s">
        <v>217</v>
      </c>
      <c r="C20" s="96" t="s">
        <v>218</v>
      </c>
    </row>
    <row r="21" ht="15.75" customHeight="1">
      <c r="A21" s="94"/>
    </row>
    <row r="22" ht="15.75" customHeight="1">
      <c r="A22" s="93" t="s">
        <v>219</v>
      </c>
    </row>
    <row r="23" ht="15.75" customHeight="1">
      <c r="A23" s="94" t="s">
        <v>220</v>
      </c>
    </row>
    <row r="24" ht="15.75" customHeight="1">
      <c r="A24" s="94" t="s">
        <v>221</v>
      </c>
    </row>
    <row r="25" ht="15.75" customHeight="1">
      <c r="A25" s="94" t="s">
        <v>222</v>
      </c>
    </row>
    <row r="26" ht="15.75" customHeight="1">
      <c r="A26" s="94" t="s">
        <v>223</v>
      </c>
    </row>
    <row r="27" ht="15.75" customHeight="1">
      <c r="A27" s="94" t="s">
        <v>224</v>
      </c>
    </row>
    <row r="28" ht="15.75" customHeight="1">
      <c r="A28" s="94"/>
    </row>
    <row r="29" ht="15.75" customHeight="1">
      <c r="A29" s="94"/>
    </row>
    <row r="30" ht="15.75" customHeight="1">
      <c r="A30" s="94"/>
      <c r="H30" s="33" t="s">
        <v>225</v>
      </c>
    </row>
    <row r="31" ht="15.75" customHeight="1">
      <c r="A31" s="94"/>
    </row>
    <row r="32" ht="15.75" customHeight="1">
      <c r="A32" s="94"/>
    </row>
    <row r="33" ht="15.75" customHeight="1">
      <c r="A33" s="94"/>
    </row>
    <row r="34" ht="15.75" customHeight="1">
      <c r="A34" s="97"/>
    </row>
    <row r="35" ht="15.75" customHeight="1">
      <c r="A35" s="97"/>
    </row>
    <row r="36" ht="15.75" customHeight="1">
      <c r="A36" s="97"/>
    </row>
    <row r="37" ht="15.75" customHeight="1">
      <c r="A37" s="97"/>
    </row>
    <row r="38" ht="15.75" customHeight="1">
      <c r="A38" s="97"/>
    </row>
    <row r="39" ht="15.75" customHeight="1">
      <c r="A39" s="97"/>
    </row>
    <row r="40" ht="15.75" customHeight="1">
      <c r="A40" s="97"/>
    </row>
    <row r="41" ht="15.75" customHeight="1">
      <c r="A41" s="97"/>
    </row>
    <row r="42" ht="15.75" customHeight="1">
      <c r="A42" s="97"/>
    </row>
    <row r="43" ht="15.75" customHeight="1">
      <c r="A43" s="97"/>
    </row>
    <row r="44" ht="15.75" customHeight="1">
      <c r="A44" s="97"/>
    </row>
    <row r="45" ht="15.75" customHeight="1">
      <c r="A45" s="97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9:J19"/>
    <mergeCell ref="C20:J20"/>
  </mergeCells>
  <hyperlinks>
    <hyperlink display="Voltar Menu Principal" location="Menu!A1" ref="C19"/>
    <hyperlink display="IR para o Canvas" location="CANVAS!A1" ref="C20"/>
  </hyperlink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2.86"/>
    <col customWidth="1" min="2" max="2" width="3.14"/>
    <col customWidth="1" min="3" max="26" width="8.71"/>
  </cols>
  <sheetData>
    <row r="1">
      <c r="A1" s="98" t="s">
        <v>235</v>
      </c>
    </row>
    <row r="2">
      <c r="A2" s="99" t="s">
        <v>201</v>
      </c>
    </row>
    <row r="3">
      <c r="A3" s="100" t="s">
        <v>237</v>
      </c>
    </row>
    <row r="4">
      <c r="A4" s="101" t="s">
        <v>238</v>
      </c>
    </row>
    <row r="5">
      <c r="A5" s="101" t="s">
        <v>239</v>
      </c>
    </row>
    <row r="6">
      <c r="A6" s="90"/>
    </row>
    <row r="7">
      <c r="A7" s="90"/>
    </row>
    <row r="8">
      <c r="A8" s="90"/>
    </row>
    <row r="9">
      <c r="A9" s="90"/>
    </row>
    <row r="10">
      <c r="A10" s="90"/>
    </row>
    <row r="11">
      <c r="A11" s="91"/>
    </row>
    <row r="13">
      <c r="A13" s="102" t="s">
        <v>208</v>
      </c>
    </row>
    <row r="14">
      <c r="A14" s="94" t="s">
        <v>241</v>
      </c>
    </row>
    <row r="15">
      <c r="A15" s="103"/>
    </row>
    <row r="16">
      <c r="A16" s="103"/>
    </row>
    <row r="17">
      <c r="A17" s="103"/>
    </row>
    <row r="18">
      <c r="A18" s="103"/>
    </row>
    <row r="19">
      <c r="A19" s="103"/>
      <c r="C19" s="104" t="s">
        <v>215</v>
      </c>
    </row>
    <row r="20">
      <c r="A20" s="103"/>
      <c r="C20" s="105" t="s">
        <v>218</v>
      </c>
    </row>
    <row r="21" ht="15.75" customHeight="1">
      <c r="A21" s="103"/>
    </row>
    <row r="22" ht="15.75" customHeight="1">
      <c r="A22" s="103"/>
    </row>
    <row r="23" ht="15.75" customHeight="1">
      <c r="A23" s="103"/>
    </row>
    <row r="24" ht="15.75" customHeight="1">
      <c r="A24" s="103"/>
    </row>
    <row r="25" ht="15.75" customHeight="1">
      <c r="A25" s="103"/>
    </row>
    <row r="26" ht="15.75" customHeight="1">
      <c r="A26" s="103"/>
    </row>
    <row r="27" ht="15.75" customHeight="1">
      <c r="A27" s="103"/>
    </row>
    <row r="28" ht="15.75" customHeight="1">
      <c r="A28" s="103"/>
    </row>
    <row r="29" ht="15.75" customHeight="1">
      <c r="A29" s="103"/>
    </row>
    <row r="30" ht="15.75" customHeight="1">
      <c r="A30" s="103"/>
    </row>
    <row r="31" ht="15.75" customHeight="1">
      <c r="A31" s="103"/>
    </row>
    <row r="32" ht="15.75" customHeight="1">
      <c r="A32" s="103"/>
    </row>
    <row r="33" ht="15.75" customHeight="1">
      <c r="A33" s="106"/>
    </row>
    <row r="34" ht="15.75" customHeight="1">
      <c r="A34" s="97"/>
    </row>
    <row r="35" ht="15.75" customHeight="1">
      <c r="A35" s="97"/>
    </row>
    <row r="36" ht="15.75" customHeight="1">
      <c r="A36" s="97"/>
    </row>
    <row r="37" ht="15.75" customHeight="1">
      <c r="A37" s="97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C19:J19"/>
    <mergeCell ref="C20:J20"/>
  </mergeCells>
  <hyperlinks>
    <hyperlink display="Voltar Menu Principal" location="Menu!A1" ref="C19"/>
    <hyperlink display="IR para o Canvas" location="CANVAS!A1" ref="C20"/>
  </hyperlink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3.0"/>
    <col customWidth="1" min="2" max="2" width="3.0"/>
    <col customWidth="1" min="3" max="26" width="8.71"/>
  </cols>
  <sheetData>
    <row r="1">
      <c r="A1" s="98" t="s">
        <v>252</v>
      </c>
    </row>
    <row r="2">
      <c r="A2" s="88" t="s">
        <v>201</v>
      </c>
    </row>
    <row r="3">
      <c r="A3" s="89" t="s">
        <v>253</v>
      </c>
    </row>
    <row r="4">
      <c r="A4" s="90" t="s">
        <v>254</v>
      </c>
    </row>
    <row r="5">
      <c r="A5" s="90" t="s">
        <v>255</v>
      </c>
    </row>
    <row r="6">
      <c r="A6" s="101" t="s">
        <v>256</v>
      </c>
    </row>
    <row r="7">
      <c r="A7" s="90"/>
    </row>
    <row r="8">
      <c r="A8" s="90"/>
    </row>
    <row r="9">
      <c r="A9" s="90"/>
    </row>
    <row r="10">
      <c r="A10" s="90"/>
    </row>
    <row r="11">
      <c r="A11" s="91"/>
    </row>
    <row r="13">
      <c r="A13" s="107" t="s">
        <v>208</v>
      </c>
    </row>
    <row r="14">
      <c r="A14" s="108" t="s">
        <v>258</v>
      </c>
    </row>
    <row r="15">
      <c r="A15" s="94" t="s">
        <v>259</v>
      </c>
    </row>
    <row r="16">
      <c r="A16" s="94" t="s">
        <v>260</v>
      </c>
    </row>
    <row r="17">
      <c r="A17" s="94" t="s">
        <v>261</v>
      </c>
    </row>
    <row r="18">
      <c r="A18" s="94" t="s">
        <v>262</v>
      </c>
    </row>
    <row r="19">
      <c r="A19" s="94" t="s">
        <v>263</v>
      </c>
      <c r="C19" s="95" t="s">
        <v>215</v>
      </c>
    </row>
    <row r="20">
      <c r="A20" s="94" t="s">
        <v>265</v>
      </c>
      <c r="C20" s="96" t="s">
        <v>218</v>
      </c>
    </row>
    <row r="21" ht="15.75" customHeight="1">
      <c r="A21" s="94" t="s">
        <v>266</v>
      </c>
    </row>
    <row r="22" ht="15.75" customHeight="1">
      <c r="A22" s="94" t="s">
        <v>267</v>
      </c>
    </row>
    <row r="23" ht="15.75" customHeight="1">
      <c r="A23" s="106"/>
    </row>
    <row r="24" ht="15.75" customHeight="1">
      <c r="A24" s="97"/>
    </row>
    <row r="25" ht="15.75" customHeight="1">
      <c r="A25" s="97"/>
    </row>
    <row r="26" ht="15.75" customHeight="1">
      <c r="A26" s="97"/>
    </row>
    <row r="27" ht="15.75" customHeight="1">
      <c r="A27" s="9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9:J19"/>
    <mergeCell ref="C20:J20"/>
  </mergeCells>
  <hyperlinks>
    <hyperlink display="Voltar Menu Principal" location="Menu!A1" ref="C19"/>
    <hyperlink display="IR para o Canvas" location="CANVAS!A1" ref="C20"/>
  </hyperlink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3.0"/>
    <col customWidth="1" min="2" max="2" width="3.14"/>
    <col customWidth="1" min="3" max="26" width="8.71"/>
  </cols>
  <sheetData>
    <row r="1">
      <c r="A1" s="98" t="s">
        <v>277</v>
      </c>
    </row>
    <row r="2">
      <c r="A2" s="88" t="s">
        <v>201</v>
      </c>
    </row>
    <row r="3">
      <c r="A3" s="89" t="s">
        <v>279</v>
      </c>
    </row>
    <row r="4">
      <c r="A4" s="90" t="s">
        <v>280</v>
      </c>
    </row>
    <row r="5">
      <c r="A5" s="90" t="s">
        <v>281</v>
      </c>
    </row>
    <row r="6">
      <c r="A6" s="101" t="s">
        <v>282</v>
      </c>
    </row>
    <row r="7">
      <c r="A7" s="90"/>
    </row>
    <row r="8">
      <c r="A8" s="90"/>
    </row>
    <row r="9">
      <c r="A9" s="90"/>
    </row>
    <row r="10">
      <c r="A10" s="90"/>
    </row>
    <row r="11">
      <c r="A11" s="91"/>
    </row>
    <row r="13">
      <c r="A13" s="107" t="s">
        <v>208</v>
      </c>
    </row>
    <row r="14">
      <c r="A14" s="108" t="s">
        <v>284</v>
      </c>
    </row>
    <row r="15">
      <c r="A15" s="94" t="s">
        <v>285</v>
      </c>
    </row>
    <row r="16">
      <c r="A16" s="94" t="s">
        <v>286</v>
      </c>
    </row>
    <row r="17">
      <c r="A17" s="94" t="s">
        <v>287</v>
      </c>
    </row>
    <row r="18">
      <c r="A18" s="94" t="s">
        <v>288</v>
      </c>
    </row>
    <row r="19">
      <c r="A19" s="94" t="s">
        <v>289</v>
      </c>
      <c r="C19" s="95" t="s">
        <v>215</v>
      </c>
    </row>
    <row r="20">
      <c r="A20" s="109" t="s">
        <v>291</v>
      </c>
      <c r="C20" s="96" t="s">
        <v>218</v>
      </c>
    </row>
    <row r="21" ht="15.75" customHeight="1">
      <c r="A21" s="109" t="s">
        <v>291</v>
      </c>
    </row>
    <row r="22" ht="15.75" customHeight="1">
      <c r="A22" s="109" t="s">
        <v>291</v>
      </c>
    </row>
    <row r="23" ht="15.75" customHeight="1">
      <c r="A23" s="110" t="s">
        <v>291</v>
      </c>
    </row>
    <row r="24" ht="15.75" customHeight="1">
      <c r="A24" s="97"/>
    </row>
    <row r="25" ht="15.75" customHeight="1">
      <c r="A25" s="97"/>
    </row>
    <row r="26" ht="15.75" customHeight="1">
      <c r="A26" s="97"/>
    </row>
    <row r="27" ht="15.75" customHeight="1">
      <c r="A27" s="9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9:J19"/>
    <mergeCell ref="C20:J20"/>
  </mergeCells>
  <hyperlinks>
    <hyperlink display="Voltar Menu Principal" location="Menu!A1" ref="C19"/>
    <hyperlink display="IR para o Canvas" location="CANVAS!A1" ref="C20"/>
  </hyperlinks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3.0"/>
    <col customWidth="1" min="2" max="2" width="4.29"/>
    <col customWidth="1" min="3" max="26" width="8.71"/>
  </cols>
  <sheetData>
    <row r="1">
      <c r="A1" s="98" t="s">
        <v>302</v>
      </c>
    </row>
    <row r="2">
      <c r="A2" s="88" t="s">
        <v>201</v>
      </c>
    </row>
    <row r="3">
      <c r="A3" s="89" t="s">
        <v>303</v>
      </c>
    </row>
    <row r="4">
      <c r="A4" s="90" t="s">
        <v>304</v>
      </c>
    </row>
    <row r="5">
      <c r="A5" s="90" t="s">
        <v>305</v>
      </c>
    </row>
    <row r="6">
      <c r="A6" s="90" t="s">
        <v>306</v>
      </c>
    </row>
    <row r="7">
      <c r="A7" s="90"/>
    </row>
    <row r="8">
      <c r="A8" s="90"/>
    </row>
    <row r="9">
      <c r="A9" s="90"/>
    </row>
    <row r="10">
      <c r="A10" s="90"/>
    </row>
    <row r="11">
      <c r="A11" s="91"/>
    </row>
    <row r="13">
      <c r="A13" s="92" t="s">
        <v>208</v>
      </c>
    </row>
    <row r="14">
      <c r="A14" s="111" t="s">
        <v>308</v>
      </c>
    </row>
    <row r="15">
      <c r="A15" s="111" t="s">
        <v>309</v>
      </c>
    </row>
    <row r="16">
      <c r="A16" s="111" t="s">
        <v>310</v>
      </c>
    </row>
    <row r="17">
      <c r="A17" s="112" t="s">
        <v>291</v>
      </c>
    </row>
    <row r="18">
      <c r="A18" s="112" t="s">
        <v>291</v>
      </c>
    </row>
    <row r="19">
      <c r="A19" s="112" t="s">
        <v>291</v>
      </c>
      <c r="C19" s="95" t="s">
        <v>215</v>
      </c>
    </row>
    <row r="20">
      <c r="A20" s="112" t="s">
        <v>291</v>
      </c>
      <c r="C20" s="96" t="s">
        <v>218</v>
      </c>
    </row>
    <row r="21" ht="15.75" customHeight="1">
      <c r="A21" s="112" t="s">
        <v>291</v>
      </c>
    </row>
    <row r="22" ht="15.75" customHeight="1">
      <c r="A22" s="112" t="s">
        <v>291</v>
      </c>
    </row>
    <row r="23" ht="15.75" customHeight="1">
      <c r="A23" s="113" t="s">
        <v>291</v>
      </c>
    </row>
    <row r="24" ht="15.75" customHeight="1">
      <c r="A24" s="97"/>
    </row>
    <row r="25" ht="15.75" customHeight="1">
      <c r="A25" s="97"/>
    </row>
    <row r="26" ht="15.75" customHeight="1">
      <c r="A26" s="97"/>
    </row>
    <row r="27" ht="15.75" customHeight="1">
      <c r="A27" s="9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9:J19"/>
    <mergeCell ref="C20:J20"/>
  </mergeCells>
  <hyperlinks>
    <hyperlink display="Voltar Menu Principal" location="Menu!A1" ref="C19"/>
    <hyperlink display="IR para o Canvas" location="CANVAS!A1" ref="C20"/>
  </hyperlinks>
  <printOptions/>
  <pageMargins bottom="0.787401575" footer="0.0" header="0.0" left="0.511811024" right="0.511811024" top="0.7874015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3.14"/>
    <col customWidth="1" min="2" max="2" width="3.71"/>
    <col customWidth="1" min="3" max="26" width="8.71"/>
  </cols>
  <sheetData>
    <row r="1">
      <c r="A1" s="98" t="s">
        <v>319</v>
      </c>
    </row>
    <row r="2">
      <c r="A2" s="88" t="s">
        <v>201</v>
      </c>
    </row>
    <row r="3">
      <c r="A3" s="89" t="s">
        <v>320</v>
      </c>
    </row>
    <row r="4">
      <c r="A4" s="114" t="s">
        <v>321</v>
      </c>
    </row>
    <row r="5">
      <c r="A5" s="90" t="s">
        <v>323</v>
      </c>
    </row>
    <row r="6">
      <c r="A6" s="90" t="s">
        <v>324</v>
      </c>
    </row>
    <row r="7">
      <c r="A7" s="90"/>
    </row>
    <row r="8">
      <c r="A8" s="90"/>
    </row>
    <row r="9">
      <c r="A9" s="90"/>
    </row>
    <row r="10">
      <c r="A10" s="90"/>
    </row>
    <row r="11">
      <c r="A11" s="91"/>
    </row>
    <row r="13">
      <c r="A13" s="107" t="s">
        <v>208</v>
      </c>
    </row>
    <row r="14">
      <c r="A14" s="108" t="s">
        <v>325</v>
      </c>
    </row>
    <row r="15">
      <c r="A15" s="94" t="s">
        <v>327</v>
      </c>
    </row>
    <row r="16">
      <c r="A16" s="94" t="s">
        <v>328</v>
      </c>
    </row>
    <row r="17">
      <c r="A17" s="94" t="s">
        <v>329</v>
      </c>
    </row>
    <row r="18">
      <c r="A18" s="94" t="s">
        <v>330</v>
      </c>
    </row>
    <row r="19">
      <c r="A19" s="94" t="s">
        <v>331</v>
      </c>
      <c r="C19" s="95" t="s">
        <v>215</v>
      </c>
    </row>
    <row r="20">
      <c r="A20" s="94" t="s">
        <v>332</v>
      </c>
      <c r="C20" s="96" t="s">
        <v>218</v>
      </c>
    </row>
    <row r="21" ht="15.75" customHeight="1">
      <c r="A21" s="94" t="s">
        <v>333</v>
      </c>
    </row>
    <row r="22" ht="15.75" customHeight="1">
      <c r="A22" s="94" t="s">
        <v>334</v>
      </c>
    </row>
    <row r="23" ht="15.75" customHeight="1">
      <c r="A23" s="97" t="s">
        <v>335</v>
      </c>
    </row>
    <row r="24" ht="15.75" customHeight="1">
      <c r="A24" s="97" t="s">
        <v>336</v>
      </c>
    </row>
    <row r="25" ht="15.75" customHeight="1">
      <c r="A25" s="97" t="s">
        <v>337</v>
      </c>
    </row>
    <row r="26" ht="15.75" customHeight="1">
      <c r="A26" s="97"/>
    </row>
    <row r="27" ht="15.75" customHeight="1">
      <c r="A27" s="9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C19:J19"/>
    <mergeCell ref="C20:J20"/>
  </mergeCells>
  <hyperlinks>
    <hyperlink display="Voltar Menu Principal" location="Menu!A1" ref="C19"/>
    <hyperlink display="IR para o Canvas" location="CANVAS!A1" ref="C20"/>
  </hyperlinks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2.86"/>
    <col customWidth="1" min="2" max="2" width="3.57"/>
    <col customWidth="1" min="3" max="26" width="8.71"/>
  </cols>
  <sheetData>
    <row r="1">
      <c r="A1" s="98" t="s">
        <v>346</v>
      </c>
    </row>
    <row r="2">
      <c r="A2" s="88" t="s">
        <v>201</v>
      </c>
    </row>
    <row r="3">
      <c r="A3" s="89" t="s">
        <v>347</v>
      </c>
    </row>
    <row r="4">
      <c r="A4" s="114" t="s">
        <v>321</v>
      </c>
    </row>
    <row r="5">
      <c r="A5" s="90" t="s">
        <v>323</v>
      </c>
    </row>
    <row r="6">
      <c r="A6" s="90" t="s">
        <v>324</v>
      </c>
    </row>
    <row r="7">
      <c r="A7" s="90"/>
    </row>
    <row r="8">
      <c r="A8" s="90"/>
    </row>
    <row r="9">
      <c r="A9" s="90"/>
    </row>
    <row r="10">
      <c r="A10" s="90"/>
    </row>
    <row r="11">
      <c r="A11" s="91"/>
    </row>
    <row r="13">
      <c r="A13" s="107" t="s">
        <v>208</v>
      </c>
    </row>
    <row r="14">
      <c r="A14" s="108" t="s">
        <v>348</v>
      </c>
    </row>
    <row r="15">
      <c r="A15" s="94" t="s">
        <v>349</v>
      </c>
    </row>
    <row r="16">
      <c r="A16" s="94" t="s">
        <v>350</v>
      </c>
    </row>
    <row r="17">
      <c r="A17" s="94" t="s">
        <v>351</v>
      </c>
    </row>
    <row r="18">
      <c r="A18" s="115" t="s">
        <v>352</v>
      </c>
    </row>
    <row r="19">
      <c r="A19" s="94" t="s">
        <v>353</v>
      </c>
      <c r="C19" s="95" t="s">
        <v>215</v>
      </c>
    </row>
    <row r="20">
      <c r="A20" s="94" t="s">
        <v>354</v>
      </c>
      <c r="C20" s="96" t="s">
        <v>218</v>
      </c>
    </row>
    <row r="21" ht="15.75" customHeight="1">
      <c r="A21" s="94" t="s">
        <v>355</v>
      </c>
    </row>
    <row r="22" ht="15.75" customHeight="1">
      <c r="A22" s="109" t="s">
        <v>291</v>
      </c>
    </row>
    <row r="23" ht="15.75" customHeight="1">
      <c r="A23" s="110" t="s">
        <v>291</v>
      </c>
    </row>
    <row r="24" ht="15.75" customHeight="1">
      <c r="A24" s="97"/>
    </row>
    <row r="25" ht="15.75" customHeight="1">
      <c r="A25" s="97"/>
    </row>
    <row r="26" ht="15.75" customHeight="1">
      <c r="A26" s="97"/>
    </row>
    <row r="27" ht="15.75" customHeight="1">
      <c r="A27" s="9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9:J19"/>
    <mergeCell ref="C20:J20"/>
  </mergeCells>
  <hyperlinks>
    <hyperlink display="Voltar Menu Principal" location="Menu!A1" ref="C19"/>
    <hyperlink display="IR para o Canvas" location="CANVAS!A1" ref="C20"/>
  </hyperlinks>
  <printOptions/>
  <pageMargins bottom="0.787401575" footer="0.0" header="0.0" left="0.511811024" right="0.511811024" top="0.7874015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3.0"/>
    <col customWidth="1" min="2" max="2" width="4.0"/>
    <col customWidth="1" min="3" max="26" width="8.71"/>
  </cols>
  <sheetData>
    <row r="1">
      <c r="A1" s="98" t="s">
        <v>356</v>
      </c>
    </row>
    <row r="2">
      <c r="A2" s="88" t="s">
        <v>201</v>
      </c>
    </row>
    <row r="3">
      <c r="A3" s="89" t="s">
        <v>357</v>
      </c>
    </row>
    <row r="4">
      <c r="A4" s="101" t="s">
        <v>358</v>
      </c>
    </row>
    <row r="5">
      <c r="A5" s="101" t="s">
        <v>359</v>
      </c>
    </row>
    <row r="6">
      <c r="A6" s="90" t="s">
        <v>360</v>
      </c>
    </row>
    <row r="7">
      <c r="A7" s="90"/>
    </row>
    <row r="8">
      <c r="A8" s="90"/>
    </row>
    <row r="9">
      <c r="A9" s="90"/>
    </row>
    <row r="10">
      <c r="A10" s="90"/>
    </row>
    <row r="11">
      <c r="A11" s="91"/>
    </row>
    <row r="13">
      <c r="A13" s="92" t="s">
        <v>208</v>
      </c>
    </row>
    <row r="14">
      <c r="A14" s="94" t="s">
        <v>361</v>
      </c>
    </row>
    <row r="15">
      <c r="A15" s="94" t="s">
        <v>362</v>
      </c>
    </row>
    <row r="16">
      <c r="A16" s="94" t="s">
        <v>363</v>
      </c>
    </row>
    <row r="17">
      <c r="A17" s="115" t="s">
        <v>364</v>
      </c>
    </row>
    <row r="18">
      <c r="A18" s="94" t="s">
        <v>365</v>
      </c>
    </row>
    <row r="19">
      <c r="A19" s="94" t="s">
        <v>366</v>
      </c>
      <c r="C19" s="95" t="s">
        <v>215</v>
      </c>
    </row>
    <row r="20">
      <c r="A20" s="93" t="s">
        <v>367</v>
      </c>
      <c r="C20" s="96" t="s">
        <v>218</v>
      </c>
    </row>
    <row r="21" ht="15.75" customHeight="1">
      <c r="A21" s="94" t="s">
        <v>368</v>
      </c>
    </row>
    <row r="22" ht="15.75" customHeight="1">
      <c r="A22" s="94" t="s">
        <v>369</v>
      </c>
    </row>
    <row r="23" ht="15.75" customHeight="1">
      <c r="A23" s="94" t="s">
        <v>370</v>
      </c>
    </row>
    <row r="24" ht="15.75" customHeight="1">
      <c r="A24" s="94" t="s">
        <v>371</v>
      </c>
    </row>
    <row r="25" ht="15.75" customHeight="1">
      <c r="A25" s="103" t="s">
        <v>372</v>
      </c>
    </row>
    <row r="26" ht="15.75" customHeight="1">
      <c r="A26" s="103" t="s">
        <v>372</v>
      </c>
    </row>
    <row r="27" ht="15.75" customHeight="1">
      <c r="A27" s="103" t="s">
        <v>372</v>
      </c>
    </row>
    <row r="28" ht="15.75" customHeight="1">
      <c r="A28" s="103" t="s">
        <v>372</v>
      </c>
    </row>
    <row r="29" ht="15.75" customHeight="1">
      <c r="A29" s="103" t="s">
        <v>372</v>
      </c>
    </row>
    <row r="30" ht="15.75" customHeight="1">
      <c r="A30" s="103" t="s">
        <v>372</v>
      </c>
    </row>
    <row r="31" ht="15.75" customHeight="1">
      <c r="A31" s="103" t="s">
        <v>372</v>
      </c>
    </row>
    <row r="32" ht="15.75" customHeight="1">
      <c r="A32" s="103" t="s">
        <v>372</v>
      </c>
    </row>
    <row r="33" ht="15.75" customHeight="1">
      <c r="A33" s="106" t="s">
        <v>372</v>
      </c>
    </row>
    <row r="34" ht="15.75" customHeight="1">
      <c r="A34" s="97"/>
    </row>
    <row r="35" ht="15.75" customHeight="1">
      <c r="A35" s="97"/>
    </row>
    <row r="36" ht="15.75" customHeight="1">
      <c r="A36" s="97"/>
    </row>
    <row r="37" ht="15.75" customHeight="1">
      <c r="A37" s="97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9:J19"/>
    <mergeCell ref="C20:J20"/>
  </mergeCells>
  <hyperlinks>
    <hyperlink display="Voltar Menu Principal" location="Menu!A1" ref="C19"/>
    <hyperlink display="IR para o Canvas" location="CANVAS!A1" ref="C20"/>
  </hyperlinks>
  <printOptions/>
  <pageMargins bottom="0.787401575" footer="0.0" header="0.0" left="0.511811024" right="0.511811024" top="0.7874015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9.0"/>
    <col customWidth="1" min="2" max="2" width="4.14"/>
    <col customWidth="1" min="3" max="26" width="8.71"/>
  </cols>
  <sheetData>
    <row r="1">
      <c r="A1" s="98" t="s">
        <v>373</v>
      </c>
    </row>
    <row r="2">
      <c r="A2" s="88" t="s">
        <v>201</v>
      </c>
    </row>
    <row r="3">
      <c r="A3" s="89" t="s">
        <v>374</v>
      </c>
    </row>
    <row r="4">
      <c r="A4" s="90" t="s">
        <v>375</v>
      </c>
    </row>
    <row r="5">
      <c r="A5" s="90" t="s">
        <v>376</v>
      </c>
    </row>
    <row r="6">
      <c r="A6" s="101" t="s">
        <v>377</v>
      </c>
    </row>
    <row r="7">
      <c r="A7" s="90"/>
    </row>
    <row r="8">
      <c r="A8" s="90"/>
    </row>
    <row r="9">
      <c r="A9" s="90"/>
    </row>
    <row r="10">
      <c r="A10" s="90"/>
    </row>
    <row r="11">
      <c r="A11" s="91"/>
    </row>
    <row r="13">
      <c r="A13" s="92" t="s">
        <v>208</v>
      </c>
    </row>
    <row r="14">
      <c r="A14" s="111" t="s">
        <v>378</v>
      </c>
    </row>
    <row r="15">
      <c r="A15" s="111" t="s">
        <v>349</v>
      </c>
    </row>
    <row r="16">
      <c r="A16" s="111" t="s">
        <v>379</v>
      </c>
    </row>
    <row r="17">
      <c r="A17" s="111" t="s">
        <v>380</v>
      </c>
    </row>
    <row r="18">
      <c r="A18" s="111" t="s">
        <v>381</v>
      </c>
    </row>
    <row r="19">
      <c r="A19" s="111" t="s">
        <v>382</v>
      </c>
      <c r="C19" s="95" t="s">
        <v>215</v>
      </c>
    </row>
    <row r="20">
      <c r="A20" s="112" t="s">
        <v>291</v>
      </c>
      <c r="C20" s="96" t="s">
        <v>218</v>
      </c>
    </row>
    <row r="21" ht="15.75" customHeight="1">
      <c r="A21" s="112" t="s">
        <v>291</v>
      </c>
    </row>
    <row r="22" ht="15.75" customHeight="1">
      <c r="A22" s="112" t="s">
        <v>291</v>
      </c>
    </row>
    <row r="23" ht="15.75" customHeight="1">
      <c r="A23" s="113" t="s">
        <v>291</v>
      </c>
    </row>
    <row r="24" ht="15.75" customHeight="1">
      <c r="A24" s="97"/>
    </row>
    <row r="25" ht="15.75" customHeight="1">
      <c r="A25" s="97"/>
    </row>
    <row r="26" ht="15.75" customHeight="1">
      <c r="A26" s="97"/>
    </row>
    <row r="27" ht="15.75" customHeight="1">
      <c r="A27" s="97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C19:J19"/>
    <mergeCell ref="C20:J20"/>
  </mergeCells>
  <hyperlinks>
    <hyperlink display="Voltar Menu Principal" location="Menu!A1" ref="C19"/>
    <hyperlink display="IR para o Canvas" location="CANVAS!A1" ref="C20"/>
  </hyperlinks>
  <printOptions/>
  <pageMargins bottom="0.787401575" footer="0.0" header="0.0" left="0.511811024" right="0.511811024" top="0.7874015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/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2.43"/>
    <col customWidth="1" min="3" max="3" width="114.0"/>
  </cols>
  <sheetData>
    <row r="1">
      <c r="A1" s="121" t="s">
        <v>383</v>
      </c>
      <c r="B1" s="48"/>
      <c r="C1" s="48"/>
      <c r="D1" s="49"/>
    </row>
    <row r="2">
      <c r="A2" s="4" t="s">
        <v>1</v>
      </c>
      <c r="B2" s="4" t="s">
        <v>384</v>
      </c>
      <c r="C2" s="4" t="s">
        <v>6</v>
      </c>
      <c r="D2" s="4" t="s">
        <v>385</v>
      </c>
    </row>
    <row r="3">
      <c r="A3" s="42">
        <v>1.0</v>
      </c>
      <c r="B3" s="122">
        <v>43892.0</v>
      </c>
      <c r="C3" s="42" t="s">
        <v>386</v>
      </c>
      <c r="D3" s="42" t="s">
        <v>387</v>
      </c>
    </row>
    <row r="4">
      <c r="A4" s="42">
        <v>2.0</v>
      </c>
      <c r="B4" s="122">
        <v>43892.0</v>
      </c>
      <c r="C4" s="42" t="s">
        <v>388</v>
      </c>
      <c r="D4" s="42" t="s">
        <v>22</v>
      </c>
    </row>
    <row r="5">
      <c r="A5" s="42">
        <v>3.0</v>
      </c>
      <c r="B5" s="122">
        <v>43892.0</v>
      </c>
      <c r="C5" s="42" t="s">
        <v>389</v>
      </c>
      <c r="D5" s="42" t="s">
        <v>390</v>
      </c>
    </row>
    <row r="6">
      <c r="A6" s="42">
        <v>4.0</v>
      </c>
      <c r="B6" s="122">
        <v>43892.0</v>
      </c>
      <c r="C6" s="42" t="s">
        <v>391</v>
      </c>
      <c r="D6" s="42" t="s">
        <v>387</v>
      </c>
    </row>
    <row r="7">
      <c r="A7" s="42">
        <v>5.0</v>
      </c>
      <c r="B7" s="122">
        <v>43892.0</v>
      </c>
      <c r="C7" s="42" t="s">
        <v>392</v>
      </c>
      <c r="D7" s="123"/>
    </row>
    <row r="8">
      <c r="A8" s="42">
        <v>6.0</v>
      </c>
      <c r="B8" s="123"/>
      <c r="C8" s="123"/>
      <c r="D8" s="123"/>
    </row>
    <row r="9">
      <c r="A9" s="42">
        <v>7.0</v>
      </c>
      <c r="B9" s="123"/>
      <c r="C9" s="123"/>
      <c r="D9" s="123"/>
    </row>
    <row r="10">
      <c r="A10" s="42">
        <v>8.0</v>
      </c>
      <c r="B10" s="123"/>
      <c r="C10" s="123"/>
      <c r="D10" s="123"/>
    </row>
    <row r="11">
      <c r="A11" s="42">
        <v>9.0</v>
      </c>
      <c r="B11" s="123"/>
      <c r="C11" s="123"/>
      <c r="D11" s="123"/>
    </row>
    <row r="12">
      <c r="A12" s="42">
        <v>10.0</v>
      </c>
      <c r="B12" s="123"/>
      <c r="C12" s="123"/>
      <c r="D12" s="123"/>
    </row>
    <row r="13">
      <c r="A13" s="42">
        <v>11.0</v>
      </c>
      <c r="B13" s="123"/>
      <c r="C13" s="123"/>
      <c r="D13" s="123"/>
    </row>
    <row r="14">
      <c r="A14" s="42">
        <v>12.0</v>
      </c>
      <c r="B14" s="123"/>
      <c r="C14" s="123"/>
      <c r="D14" s="123"/>
    </row>
    <row r="15">
      <c r="A15" s="42">
        <v>13.0</v>
      </c>
      <c r="B15" s="123"/>
      <c r="C15" s="123"/>
      <c r="D15" s="123"/>
    </row>
    <row r="16">
      <c r="A16" s="42">
        <v>14.0</v>
      </c>
      <c r="B16" s="123"/>
      <c r="C16" s="123"/>
      <c r="D16" s="123"/>
    </row>
    <row r="17">
      <c r="A17" s="42">
        <v>15.0</v>
      </c>
      <c r="B17" s="123"/>
      <c r="C17" s="123"/>
      <c r="D17" s="123"/>
    </row>
    <row r="18">
      <c r="A18" s="42">
        <v>16.0</v>
      </c>
      <c r="B18" s="123"/>
      <c r="C18" s="123"/>
      <c r="D18" s="123"/>
    </row>
    <row r="19">
      <c r="A19" s="42">
        <v>17.0</v>
      </c>
      <c r="B19" s="123"/>
      <c r="C19" s="123"/>
      <c r="D19" s="123"/>
    </row>
    <row r="20">
      <c r="A20" s="42">
        <v>18.0</v>
      </c>
      <c r="B20" s="123"/>
      <c r="C20" s="123"/>
      <c r="D20" s="123"/>
    </row>
    <row r="21">
      <c r="A21" s="42">
        <v>19.0</v>
      </c>
      <c r="B21" s="123"/>
      <c r="C21" s="123"/>
      <c r="D21" s="123"/>
    </row>
    <row r="22">
      <c r="A22" s="42">
        <v>20.0</v>
      </c>
      <c r="B22" s="123"/>
      <c r="C22" s="123"/>
      <c r="D22" s="123"/>
    </row>
    <row r="23">
      <c r="A23" s="42">
        <v>21.0</v>
      </c>
      <c r="B23" s="123"/>
      <c r="C23" s="123"/>
      <c r="D23" s="123"/>
    </row>
    <row r="24">
      <c r="A24" s="42">
        <v>22.0</v>
      </c>
      <c r="B24" s="123"/>
      <c r="C24" s="123"/>
      <c r="D24" s="123"/>
    </row>
    <row r="25">
      <c r="A25" s="42">
        <v>23.0</v>
      </c>
      <c r="B25" s="123"/>
      <c r="C25" s="123"/>
      <c r="D25" s="123"/>
    </row>
    <row r="26">
      <c r="A26" s="42">
        <v>24.0</v>
      </c>
      <c r="B26" s="123"/>
      <c r="C26" s="123"/>
      <c r="D26" s="123"/>
    </row>
    <row r="27">
      <c r="A27" s="42">
        <v>25.0</v>
      </c>
      <c r="B27" s="123"/>
      <c r="C27" s="123"/>
      <c r="D27" s="123"/>
    </row>
    <row r="28">
      <c r="A28" s="42">
        <v>26.0</v>
      </c>
      <c r="B28" s="123"/>
      <c r="C28" s="123"/>
      <c r="D28" s="123"/>
    </row>
  </sheetData>
  <mergeCells count="1">
    <mergeCell ref="A1:D1"/>
  </mergeCells>
  <drawing r:id="rId1"/>
  <tableParts count="1">
    <tablePart r:id="rId3"/>
  </tableParts>
</worksheet>
</file>